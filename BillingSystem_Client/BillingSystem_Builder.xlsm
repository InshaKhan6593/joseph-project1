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nsha Khan\Desktop\BillingSystem_Client\"/>
    </mc:Choice>
  </mc:AlternateContent>
  <xr:revisionPtr revIDLastSave="0" documentId="13_ncr:1_{ABCB9EE9-381A-402D-A756-F52B95BCDA4E}" xr6:coauthVersionLast="47" xr6:coauthVersionMax="47" xr10:uidLastSave="{00000000-0000-0000-0000-000000000000}"/>
  <bookViews>
    <workbookView xWindow="-108" yWindow="-108" windowWidth="23256" windowHeight="12456" xr2:uid="{5297ADA0-6460-48F0-B15A-38459E269B2A}"/>
  </bookViews>
  <sheets>
    <sheet name="Dashboard" sheetId="1" r:id="rId1"/>
    <sheet name="Invoice_Template" sheetId="2" r:id="rId2"/>
    <sheet name="Receipt_Template" sheetId="3" r:id="rId3"/>
    <sheet name="ETR_Template" sheetId="4" r:id="rId4"/>
    <sheet name="Customers" sheetId="5" r:id="rId5"/>
    <sheet name="Products" sheetId="6" r:id="rId6"/>
    <sheet name="Transactions" sheetId="7" r:id="rId7"/>
    <sheet name="Settings" sheetId="8" r:id="rId8"/>
    <sheet name="PaymentLog" sheetId="9" r:id="rId9"/>
    <sheet name="TaxSummary" sheetId="10" r:id="rId10"/>
  </sheets>
  <functionGroups builtInGroupCount="19"/>
  <definedNames>
    <definedName name="_xlnm.Print_Area" localSheetId="3">ETR_Template!$A$1:$C$44</definedName>
    <definedName name="_xlnm.Print_Area" localSheetId="1">Invoice_Template!$A$1:$H$40</definedName>
    <definedName name="_xlnm.Print_Area" localSheetId="2">Receipt_Template!$A$1:$F$24</definedName>
    <definedName name="rngCompanyName">Settings!$B$2</definedName>
    <definedName name="rngCurrency">Settings!$B$12</definedName>
    <definedName name="rngETRDate">ETR_Template!$B$8</definedName>
    <definedName name="rngETRLineItems">ETR_Template!$A$13:$C$27</definedName>
    <definedName name="rngETRNumber">ETR_Template!$B$7</definedName>
    <definedName name="rngETRTotal">ETR_Template!$B$32</definedName>
    <definedName name="rngInvCustomer">Invoice_Template!$E$9</definedName>
    <definedName name="rngInvDate">Invoice_Template!$B$9</definedName>
    <definedName name="rngInvDueDate">Invoice_Template!$B$10</definedName>
    <definedName name="rngInvLineItems">Invoice_Template!$A$15:$H$29</definedName>
    <definedName name="rngInvNumber">Invoice_Template!$B$8</definedName>
    <definedName name="rngInvSubtotal">Invoice_Template!$H$31</definedName>
    <definedName name="rngInvTax">Invoice_Template!$H$33</definedName>
    <definedName name="rngInvTotal">Invoice_Template!$H$35</definedName>
    <definedName name="rngJurisdiction">Settings!$B$11</definedName>
    <definedName name="rngLastETR">Settings!$B$28</definedName>
    <definedName name="rngLastInvoice">Settings!$B$26</definedName>
    <definedName name="rngLastReceipt">Settings!$B$27</definedName>
    <definedName name="rngPaymentMethods">Settings!$A$32:$A$44</definedName>
    <definedName name="rngPaymentTerms">Settings!$B$46</definedName>
    <definedName name="rngRcptAmountPaid">Receipt_Template!$B$17</definedName>
    <definedName name="rngRcptBalance">Receipt_Template!$B$20</definedName>
    <definedName name="rngRcptDate">Receipt_Template!$B$9</definedName>
    <definedName name="rngRcptInvoiceRef">Receipt_Template!$B$10</definedName>
    <definedName name="rngRcptNumber">Receipt_Template!$B$8</definedName>
    <definedName name="rngTaxTable">Settings!$A$16:$E$24</definedName>
    <definedName name="rngYearPrefix">Settings!$B$29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/>
  <c r="G5" i="1"/>
  <c r="E5" i="1"/>
  <c r="C5" i="1"/>
  <c r="A5" i="1"/>
  <c r="A3" i="4"/>
  <c r="A2" i="4"/>
  <c r="A1" i="4"/>
  <c r="B20" i="3"/>
  <c r="A2" i="3"/>
  <c r="A1" i="3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31" i="2" s="1"/>
  <c r="H32" i="2" s="1"/>
  <c r="H35" i="2" s="1"/>
  <c r="D4" i="2"/>
  <c r="D3" i="2"/>
  <c r="D2" i="2"/>
  <c r="D1" i="2"/>
  <c r="B49" i="8"/>
</calcChain>
</file>

<file path=xl/sharedStrings.xml><?xml version="1.0" encoding="utf-8"?>
<sst xmlns="http://schemas.openxmlformats.org/spreadsheetml/2006/main" count="454" uniqueCount="304">
  <si>
    <t>COMPANY INFORMATION</t>
  </si>
  <si>
    <t>Company Name</t>
  </si>
  <si>
    <t>Address Line 1</t>
  </si>
  <si>
    <t>Address Line 2</t>
  </si>
  <si>
    <t>Phone</t>
  </si>
  <si>
    <t>Email</t>
  </si>
  <si>
    <t>Website</t>
  </si>
  <si>
    <t>Logo Path</t>
  </si>
  <si>
    <t>ACTIVE JURISDICTION</t>
  </si>
  <si>
    <t>Jurisdiction</t>
  </si>
  <si>
    <t>Kenya</t>
  </si>
  <si>
    <t>Currency Symbol</t>
  </si>
  <si>
    <t>KES</t>
  </si>
  <si>
    <t>TAX CONFIGURATION</t>
  </si>
  <si>
    <t>Tax Name</t>
  </si>
  <si>
    <t>Rate</t>
  </si>
  <si>
    <t>Tax ID Label</t>
  </si>
  <si>
    <t>Tax ID Value</t>
  </si>
  <si>
    <t>VAT Standard</t>
  </si>
  <si>
    <t>KRA PIN</t>
  </si>
  <si>
    <t>VAT Exempt</t>
  </si>
  <si>
    <t>Petroleum VAT</t>
  </si>
  <si>
    <t>USA</t>
  </si>
  <si>
    <t>Sales Tax (CA)</t>
  </si>
  <si>
    <t>EIN</t>
  </si>
  <si>
    <t>Sales Tax (TX)</t>
  </si>
  <si>
    <t>Sales Tax (NY)</t>
  </si>
  <si>
    <t>UK</t>
  </si>
  <si>
    <t>VAT Number</t>
  </si>
  <si>
    <t>VAT Reduced</t>
  </si>
  <si>
    <t>VAT Zero</t>
  </si>
  <si>
    <t>DOCUMENT COUNTERS</t>
  </si>
  <si>
    <t>Last Invoice Number</t>
  </si>
  <si>
    <t>Last Receipt Number</t>
  </si>
  <si>
    <t>Last ETR Number</t>
  </si>
  <si>
    <t>Year Prefix</t>
  </si>
  <si>
    <t>PAYMENT METHODS</t>
  </si>
  <si>
    <t>Cash</t>
  </si>
  <si>
    <t>M-Pesa</t>
  </si>
  <si>
    <t>Bank Transfer</t>
  </si>
  <si>
    <t>Credit Card</t>
  </si>
  <si>
    <t>Debit Card</t>
  </si>
  <si>
    <t>Cheque</t>
  </si>
  <si>
    <t>Other</t>
  </si>
  <si>
    <t>DEFAULT TERMS</t>
  </si>
  <si>
    <t>Payment Terms</t>
  </si>
  <si>
    <t>Net 30</t>
  </si>
  <si>
    <t>Default Discount %</t>
  </si>
  <si>
    <t>PDF Save Path</t>
  </si>
  <si>
    <t>C:\BillingSystem\</t>
  </si>
  <si>
    <t>Last Updated</t>
  </si>
  <si>
    <t>Cust_ID</t>
  </si>
  <si>
    <t>Contact Person</t>
  </si>
  <si>
    <t>Billing Address</t>
  </si>
  <si>
    <t>City</t>
  </si>
  <si>
    <t>Country</t>
  </si>
  <si>
    <t>Tax ID (PIN/EIN/VAT)</t>
  </si>
  <si>
    <t>Credit Terms</t>
  </si>
  <si>
    <t>Status</t>
  </si>
  <si>
    <t>Notes</t>
  </si>
  <si>
    <t>C001</t>
  </si>
  <si>
    <t>Safaricom PLC</t>
  </si>
  <si>
    <t>James Mwangi</t>
  </si>
  <si>
    <t>james@safaricom.co.ke</t>
  </si>
  <si>
    <t>+254 722 000 001</t>
  </si>
  <si>
    <t>Waiyaki Way</t>
  </si>
  <si>
    <t>Nairobi</t>
  </si>
  <si>
    <t>P051234567X</t>
  </si>
  <si>
    <t>Active</t>
  </si>
  <si>
    <t>C002</t>
  </si>
  <si>
    <t>Kenya Airways</t>
  </si>
  <si>
    <t>Sarah Odhiambo</t>
  </si>
  <si>
    <t>sarah@kq.co.ke</t>
  </si>
  <si>
    <t>+254 733 000 002</t>
  </si>
  <si>
    <t>Airport North Rd</t>
  </si>
  <si>
    <t>P051234568Y</t>
  </si>
  <si>
    <t>Net 60</t>
  </si>
  <si>
    <t>C003</t>
  </si>
  <si>
    <t>TechCorp Inc</t>
  </si>
  <si>
    <t>John Smith</t>
  </si>
  <si>
    <t>john@techcorp.com</t>
  </si>
  <si>
    <t>+1 415 555 0101</t>
  </si>
  <si>
    <t>100 Market St</t>
  </si>
  <si>
    <t>San Francisco</t>
  </si>
  <si>
    <t>12-3456789</t>
  </si>
  <si>
    <t>C004</t>
  </si>
  <si>
    <t>London Analytics Ltd</t>
  </si>
  <si>
    <t>Emma Thompson</t>
  </si>
  <si>
    <t>emma@londonanalytics.co.uk</t>
  </si>
  <si>
    <t>+44 20 7946 0958</t>
  </si>
  <si>
    <t>50 Baker Street</t>
  </si>
  <si>
    <t>London</t>
  </si>
  <si>
    <t>GB123456789</t>
  </si>
  <si>
    <t>C005</t>
  </si>
  <si>
    <t>Equity Bank</t>
  </si>
  <si>
    <t>Peter Ndung'u</t>
  </si>
  <si>
    <t>peter@equitybank.co.ke</t>
  </si>
  <si>
    <t>+254 711 000 005</t>
  </si>
  <si>
    <t>NHIF Building</t>
  </si>
  <si>
    <t>P051234570A</t>
  </si>
  <si>
    <t>Due on Receipt</t>
  </si>
  <si>
    <t>C006</t>
  </si>
  <si>
    <t>Acme Corp</t>
  </si>
  <si>
    <t>Lisa Johnson</t>
  </si>
  <si>
    <t>lisa@acme.com</t>
  </si>
  <si>
    <t>+1 212 555 0202</t>
  </si>
  <si>
    <t>350 5th Avenue</t>
  </si>
  <si>
    <t>New York</t>
  </si>
  <si>
    <t>98-7654321</t>
  </si>
  <si>
    <t>C007</t>
  </si>
  <si>
    <t>British Gas</t>
  </si>
  <si>
    <t>Oliver Brown</t>
  </si>
  <si>
    <t>oliver@britishgas.co.uk</t>
  </si>
  <si>
    <t>+44 20 7946 1234</t>
  </si>
  <si>
    <t>1 Regent St</t>
  </si>
  <si>
    <t>GB987654321</t>
  </si>
  <si>
    <t>C008</t>
  </si>
  <si>
    <t>Jumia Kenya</t>
  </si>
  <si>
    <t>Grace Wanjiku</t>
  </si>
  <si>
    <t>grace@jumia.co.ke</t>
  </si>
  <si>
    <t>+254 700 000 008</t>
  </si>
  <si>
    <t>Kilimani</t>
  </si>
  <si>
    <t>P051234571B</t>
  </si>
  <si>
    <t>C009</t>
  </si>
  <si>
    <t>StarTech Solutions</t>
  </si>
  <si>
    <t>David Lee</t>
  </si>
  <si>
    <t>david@startech.com</t>
  </si>
  <si>
    <t>+1 650 555 0303</t>
  </si>
  <si>
    <t>200 University Ave</t>
  </si>
  <si>
    <t>Palo Alto</t>
  </si>
  <si>
    <t>55-1234567</t>
  </si>
  <si>
    <t>C010</t>
  </si>
  <si>
    <t>Manchester Digital</t>
  </si>
  <si>
    <t>Sophie Williams</t>
  </si>
  <si>
    <t>sophie@manchesterdigital.co.uk</t>
  </si>
  <si>
    <t>+44 161 555 0404</t>
  </si>
  <si>
    <t>1 St Peter's Sq</t>
  </si>
  <si>
    <t>Manchester</t>
  </si>
  <si>
    <t>GB555666777</t>
  </si>
  <si>
    <t>SKU</t>
  </si>
  <si>
    <t>Product/Service Name</t>
  </si>
  <si>
    <t>Description</t>
  </si>
  <si>
    <t>Category</t>
  </si>
  <si>
    <t>Unit Price</t>
  </si>
  <si>
    <t>Unit</t>
  </si>
  <si>
    <t>Tax Category</t>
  </si>
  <si>
    <t>SKU001</t>
  </si>
  <si>
    <t>IT Consulting</t>
  </si>
  <si>
    <t>Hourly IT consulting services</t>
  </si>
  <si>
    <t>Consulting</t>
  </si>
  <si>
    <t>Hour</t>
  </si>
  <si>
    <t>Standard Rate</t>
  </si>
  <si>
    <t>SKU002</t>
  </si>
  <si>
    <t>Web Development</t>
  </si>
  <si>
    <t>Full-stack web development</t>
  </si>
  <si>
    <t>Software</t>
  </si>
  <si>
    <t>SKU003</t>
  </si>
  <si>
    <t>Cloud Hosting (Monthly)</t>
  </si>
  <si>
    <t>AWS/Azure managed hosting</t>
  </si>
  <si>
    <t>Subscription</t>
  </si>
  <si>
    <t>Month</t>
  </si>
  <si>
    <t>SKU004</t>
  </si>
  <si>
    <t>Laptop - Dell Latitude</t>
  </si>
  <si>
    <t>Business laptop 14" i7</t>
  </si>
  <si>
    <t>Hardware</t>
  </si>
  <si>
    <t>SKU005</t>
  </si>
  <si>
    <t>Software License - Annual</t>
  </si>
  <si>
    <t>Enterprise software license</t>
  </si>
  <si>
    <t>License</t>
  </si>
  <si>
    <t>SKU006</t>
  </si>
  <si>
    <t>Data Analysis Report</t>
  </si>
  <si>
    <t>Custom data analysis</t>
  </si>
  <si>
    <t>Project</t>
  </si>
  <si>
    <t>SKU007</t>
  </si>
  <si>
    <t>Network Setup</t>
  </si>
  <si>
    <t>Office network installation</t>
  </si>
  <si>
    <t>Service</t>
  </si>
  <si>
    <t>SKU008</t>
  </si>
  <si>
    <t>Cybersecurity Audit</t>
  </si>
  <si>
    <t>Security assessment</t>
  </si>
  <si>
    <t>SKU009</t>
  </si>
  <si>
    <t>Training Session</t>
  </si>
  <si>
    <t>On-site IT training</t>
  </si>
  <si>
    <t>SKU010</t>
  </si>
  <si>
    <t>Domain Registration</t>
  </si>
  <si>
    <t>Annual domain name</t>
  </si>
  <si>
    <t>Zero Rated</t>
  </si>
  <si>
    <t>SKU011</t>
  </si>
  <si>
    <t>SSL Certificate</t>
  </si>
  <si>
    <t>Annual SSL cert</t>
  </si>
  <si>
    <t>SKU012</t>
  </si>
  <si>
    <t>Mobile App Development</t>
  </si>
  <si>
    <t>Cross-platform app dev</t>
  </si>
  <si>
    <t>SKU013</t>
  </si>
  <si>
    <t>Database Migration</t>
  </si>
  <si>
    <t>DB migration service</t>
  </si>
  <si>
    <t>SKU014</t>
  </si>
  <si>
    <t>Printer - HP LaserJet</t>
  </si>
  <si>
    <t>Office laser printer</t>
  </si>
  <si>
    <t>SKU015</t>
  </si>
  <si>
    <t>UPS Battery Backup</t>
  </si>
  <si>
    <t>APC 1500VA UPS</t>
  </si>
  <si>
    <t>SKU016</t>
  </si>
  <si>
    <t>SEO Services (Monthly)</t>
  </si>
  <si>
    <t>Search engine optimization</t>
  </si>
  <si>
    <t>SKU017</t>
  </si>
  <si>
    <t>Logo Design</t>
  </si>
  <si>
    <t>Corporate logo design</t>
  </si>
  <si>
    <t>SKU018</t>
  </si>
  <si>
    <t>Email Hosting</t>
  </si>
  <si>
    <t>Business email per user</t>
  </si>
  <si>
    <t>SKU019</t>
  </si>
  <si>
    <t>Fiber Installation</t>
  </si>
  <si>
    <t>Office fiber optic setup</t>
  </si>
  <si>
    <t>SKU020</t>
  </si>
  <si>
    <t>Project Management</t>
  </si>
  <si>
    <t>PM services</t>
  </si>
  <si>
    <t>Invoice No</t>
  </si>
  <si>
    <t>Customer Name</t>
  </si>
  <si>
    <t>Date Issued</t>
  </si>
  <si>
    <t>Due Date</t>
  </si>
  <si>
    <t>Subtotal</t>
  </si>
  <si>
    <t>Tax Amount</t>
  </si>
  <si>
    <t>Discount</t>
  </si>
  <si>
    <t>Grand Total</t>
  </si>
  <si>
    <t>Amount Paid</t>
  </si>
  <si>
    <t>Balance</t>
  </si>
  <si>
    <t>Tax Rate Applied</t>
  </si>
  <si>
    <t>Payment ID</t>
  </si>
  <si>
    <t>Payment Date</t>
  </si>
  <si>
    <t>Payment Method</t>
  </si>
  <si>
    <t>Reference No</t>
  </si>
  <si>
    <t>Received By</t>
  </si>
  <si>
    <t>[LOGO]</t>
  </si>
  <si>
    <t>INVOICE</t>
  </si>
  <si>
    <t>Invoice No:</t>
  </si>
  <si>
    <t>Date:</t>
  </si>
  <si>
    <t>Due Date:</t>
  </si>
  <si>
    <t>Terms:</t>
  </si>
  <si>
    <t>BILL TO:</t>
  </si>
  <si>
    <t>#</t>
  </si>
  <si>
    <t>Qty</t>
  </si>
  <si>
    <t>Discount%</t>
  </si>
  <si>
    <t>Tax</t>
  </si>
  <si>
    <t>Line Total</t>
  </si>
  <si>
    <t>Tax (VAT/Sales Tax)</t>
  </si>
  <si>
    <t>GRAND TOTAL</t>
  </si>
  <si>
    <t>Payment Instructions:</t>
  </si>
  <si>
    <t>(Bank details)</t>
  </si>
  <si>
    <t>Tax ID: (from Settings)</t>
  </si>
  <si>
    <t>Thank you for your business!</t>
  </si>
  <si>
    <t>RECEIPT</t>
  </si>
  <si>
    <t>Receipt No:</t>
  </si>
  <si>
    <t>Invoice Reference:</t>
  </si>
  <si>
    <t>Customer:</t>
  </si>
  <si>
    <t>Tax ID:</t>
  </si>
  <si>
    <t>PAYMENT DETAILS</t>
  </si>
  <si>
    <t>Amount Due</t>
  </si>
  <si>
    <t>Received by: _______________</t>
  </si>
  <si>
    <t>Date: _______________</t>
  </si>
  <si>
    <t>This is a computer-generated receipt.</t>
  </si>
  <si>
    <t>KRA PIN: (from Settings)</t>
  </si>
  <si>
    <t>--------------------------------</t>
  </si>
  <si>
    <t>ETR RECEIPT</t>
  </si>
  <si>
    <t>Cashier:</t>
  </si>
  <si>
    <t>ITEM          QTY    AMOUNT</t>
  </si>
  <si>
    <t>Subtotal:</t>
  </si>
  <si>
    <t>VAT (16%):</t>
  </si>
  <si>
    <t>TOTAL:</t>
  </si>
  <si>
    <t>Payment:</t>
  </si>
  <si>
    <t>Amount Tendered:</t>
  </si>
  <si>
    <t>Change:</t>
  </si>
  <si>
    <t>Prices inclusive of VAT</t>
  </si>
  <si>
    <t>ETR Serial: (generated)</t>
  </si>
  <si>
    <t>Thank you!</t>
  </si>
  <si>
    <t>[QR Code]</t>
  </si>
  <si>
    <t>*** END OF RECEIPT ***</t>
  </si>
  <si>
    <t>TAX SUMMARY REPORT</t>
  </si>
  <si>
    <t>Period:</t>
  </si>
  <si>
    <t>Monthly</t>
  </si>
  <si>
    <t>From:</t>
  </si>
  <si>
    <t>To:</t>
  </si>
  <si>
    <t>Jurisdiction:</t>
  </si>
  <si>
    <t>All</t>
  </si>
  <si>
    <t>Total Revenue</t>
  </si>
  <si>
    <t>Total Tax Collected</t>
  </si>
  <si>
    <t>Tax Rate</t>
  </si>
  <si>
    <t>Invoices Count</t>
  </si>
  <si>
    <t>Outstanding</t>
  </si>
  <si>
    <t>Professional Billing System
Dashboard &amp; Navigation</t>
  </si>
  <si>
    <t>QUICK ACTIONS</t>
  </si>
  <si>
    <t>NEW INVOICE</t>
  </si>
  <si>
    <t>RECORD PAYMENT</t>
  </si>
  <si>
    <t>GENERATE RECEIPT</t>
  </si>
  <si>
    <t>EXPORT PDF</t>
  </si>
  <si>
    <t>VIEW CUSTOMERS</t>
  </si>
  <si>
    <t>VIEW PRODUCTS</t>
  </si>
  <si>
    <t>TRANSACTIONS</t>
  </si>
  <si>
    <t>TAX SUMMARY</t>
  </si>
  <si>
    <t>SETTINGS</t>
  </si>
  <si>
    <t>RECENT ACTIVITY</t>
  </si>
  <si>
    <t>Customer</t>
  </si>
  <si>
    <t>Date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</si>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</sst>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[$KES]\ #,##0.00"/>
  </numFmts>
  <fonts count="17" x14ac:knownFonts="1">
    <font>
      <sz val="11"/>
      <color theme="1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i/>
      <sz val="8"/>
      <color theme="1"/>
      <name val="Aptos Narrow"/>
      <family val="2"/>
      <scheme val="minor"/>
    </font>
    <font>
      <sz val="9"/>
      <color theme="1"/>
      <name val="Consolas"/>
      <family val="3"/>
    </font>
    <font>
      <b/>
      <sz val="9"/>
      <color theme="1"/>
      <name val="Consolas"/>
      <family val="3"/>
    </font>
    <font>
      <b/>
      <sz val="11"/>
      <color theme="1"/>
      <name val="Consolas"/>
      <family val="3"/>
    </font>
    <font>
      <sz val="8"/>
      <color theme="1"/>
      <name val="Consolas"/>
      <family val="3"/>
    </font>
    <font>
      <b/>
      <sz val="16"/>
      <color rgb="FFFFFFFF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1B4F72"/>
        <bgColor indexed="64"/>
      </patternFill>
    </fill>
    <fill>
      <patternFill patternType="solid">
        <fgColor rgb="FFEBF5FB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7D3C98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117A65"/>
        <bgColor indexed="64"/>
      </patternFill>
    </fill>
    <fill>
      <patternFill patternType="solid">
        <fgColor rgb="FFC0392B"/>
        <bgColor indexed="64"/>
      </patternFill>
    </fill>
    <fill>
      <patternFill patternType="solid">
        <fgColor rgb="FF5D6D7E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BDC3C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0" xfId="0"/>
    <xf numFmtId="0" fontId="3" fillId="2" borderId="0" xfId="0" applyFont="1" applyFill="1"/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0" borderId="0" xfId="0" applyFont="1"/>
    <xf numFmtId="10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/>
    <xf numFmtId="0" fontId="0" fillId="0" borderId="0" xfId="0" applyFill="1" applyAlignment="1">
      <alignment horizontal="center" vertical="center"/>
    </xf>
    <xf numFmtId="0" fontId="4" fillId="0" borderId="0" xfId="0" applyFont="1"/>
    <xf numFmtId="0" fontId="5" fillId="2" borderId="0" xfId="0" applyFont="1" applyFill="1" applyAlignment="1">
      <alignment horizontal="center"/>
    </xf>
    <xf numFmtId="0" fontId="2" fillId="0" borderId="0" xfId="0" applyFont="1" applyAlignment="1">
      <alignment horizontal="right"/>
    </xf>
    <xf numFmtId="0" fontId="3" fillId="2" borderId="0" xfId="0" applyFont="1" applyFill="1"/>
    <xf numFmtId="0" fontId="0" fillId="3" borderId="0" xfId="0" applyFill="1"/>
    <xf numFmtId="0" fontId="0" fillId="3" borderId="1" xfId="0" applyFill="1" applyBorder="1"/>
    <xf numFmtId="165" fontId="0" fillId="3" borderId="1" xfId="0" applyNumberFormat="1" applyFill="1" applyBorder="1"/>
    <xf numFmtId="2" fontId="0" fillId="3" borderId="1" xfId="0" applyNumberFormat="1" applyFill="1" applyBorder="1"/>
    <xf numFmtId="0" fontId="0" fillId="0" borderId="1" xfId="0" applyBorder="1"/>
    <xf numFmtId="165" fontId="0" fillId="0" borderId="1" xfId="0" applyNumberFormat="1" applyBorder="1"/>
    <xf numFmtId="2" fontId="0" fillId="0" borderId="1" xfId="0" applyNumberFormat="1" applyBorder="1"/>
    <xf numFmtId="0" fontId="0" fillId="3" borderId="3" xfId="0" applyFill="1" applyBorder="1"/>
    <xf numFmtId="165" fontId="0" fillId="3" borderId="3" xfId="0" applyNumberFormat="1" applyFill="1" applyBorder="1"/>
    <xf numFmtId="2" fontId="0" fillId="3" borderId="3" xfId="0" applyNumberFormat="1" applyFill="1" applyBorder="1"/>
    <xf numFmtId="0" fontId="3" fillId="2" borderId="2" xfId="0" applyFont="1" applyFill="1" applyBorder="1"/>
    <xf numFmtId="0" fontId="0" fillId="0" borderId="4" xfId="0" applyBorder="1"/>
    <xf numFmtId="165" fontId="0" fillId="0" borderId="4" xfId="0" applyNumberFormat="1" applyBorder="1"/>
    <xf numFmtId="0" fontId="0" fillId="0" borderId="5" xfId="0" applyBorder="1"/>
    <xf numFmtId="165" fontId="0" fillId="0" borderId="5" xfId="0" applyNumberFormat="1" applyBorder="1"/>
    <xf numFmtId="0" fontId="6" fillId="4" borderId="6" xfId="0" applyFont="1" applyFill="1" applyBorder="1"/>
    <xf numFmtId="165" fontId="6" fillId="4" borderId="6" xfId="0" applyNumberFormat="1" applyFont="1" applyFill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164" fontId="0" fillId="0" borderId="0" xfId="0" applyNumberFormat="1" applyAlignment="1">
      <alignment horizontal="left" wrapText="1"/>
    </xf>
    <xf numFmtId="0" fontId="3" fillId="2" borderId="2" xfId="0" applyFont="1" applyFill="1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1" xfId="0" applyBorder="1" applyAlignment="1">
      <alignment wrapText="1"/>
    </xf>
    <xf numFmtId="0" fontId="0" fillId="3" borderId="1" xfId="0" applyFill="1" applyBorder="1" applyAlignment="1">
      <alignment wrapText="1"/>
    </xf>
    <xf numFmtId="0" fontId="7" fillId="0" borderId="0" xfId="0" applyFont="1" applyAlignment="1">
      <alignment horizontal="center"/>
    </xf>
    <xf numFmtId="0" fontId="2" fillId="0" borderId="1" xfId="0" applyFont="1" applyBorder="1"/>
    <xf numFmtId="0" fontId="8" fillId="0" borderId="0" xfId="0" applyFont="1" applyAlignment="1">
      <alignment horizontal="center"/>
    </xf>
    <xf numFmtId="0" fontId="9" fillId="0" borderId="0" xfId="0" applyFont="1"/>
    <xf numFmtId="165" fontId="9" fillId="0" borderId="0" xfId="0" applyNumberFormat="1" applyFont="1"/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0" fillId="0" borderId="0" xfId="0" applyFont="1"/>
    <xf numFmtId="0" fontId="10" fillId="0" borderId="0" xfId="0" applyFont="1"/>
    <xf numFmtId="0" fontId="12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3" fillId="6" borderId="0" xfId="0" applyFont="1" applyFill="1"/>
    <xf numFmtId="1" fontId="0" fillId="0" borderId="0" xfId="0" applyNumberFormat="1"/>
    <xf numFmtId="0" fontId="5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7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9" borderId="7" xfId="0" applyFont="1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center" vertical="center"/>
    </xf>
    <xf numFmtId="0" fontId="15" fillId="4" borderId="7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11" borderId="7" xfId="0" applyFont="1" applyFill="1" applyBorder="1" applyAlignment="1">
      <alignment horizontal="center" vertical="center" wrapText="1"/>
    </xf>
    <xf numFmtId="0" fontId="15" fillId="8" borderId="7" xfId="0" applyFont="1" applyFill="1" applyBorder="1" applyAlignment="1">
      <alignment horizontal="center"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15" fillId="12" borderId="7" xfId="0" applyFont="1" applyFill="1" applyBorder="1" applyAlignment="1">
      <alignment horizontal="center" vertical="center" wrapText="1"/>
    </xf>
    <xf numFmtId="0" fontId="16" fillId="13" borderId="0" xfId="0" applyFont="1" applyFill="1"/>
    <xf numFmtId="0" fontId="2" fillId="14" borderId="0" xfId="0" applyFont="1" applyFill="1"/>
  </cellXfs>
  <cellStyles count="1">
    <cellStyle name="Normal" xfId="0" builtinId="0"/>
  </cellStyles>
  <dxfs count="32">
    <dxf>
      <numFmt numFmtId="1" formatCode="0"/>
    </dxf>
    <dxf>
      <numFmt numFmtId="165" formatCode="[$KES]\ #,##0.00"/>
    </dxf>
    <dxf>
      <numFmt numFmtId="14" formatCode="0.00%"/>
    </dxf>
    <dxf>
      <numFmt numFmtId="165" formatCode="[$KES]\ #,##0.00"/>
    </dxf>
    <dxf>
      <numFmt numFmtId="165" formatCode="[$KES]\ #,##0.00"/>
    </dxf>
    <dxf>
      <numFmt numFmtId="30" formatCode="@"/>
    </dxf>
    <dxf>
      <numFmt numFmtId="164" formatCode="dd\-mmm\-yyyy"/>
    </dxf>
    <dxf>
      <numFmt numFmtId="30" formatCode="@"/>
    </dxf>
    <dxf>
      <numFmt numFmtId="30" formatCode="@"/>
    </dxf>
    <dxf>
      <numFmt numFmtId="165" formatCode="[$KES]\ #,##0.00"/>
    </dxf>
    <dxf>
      <numFmt numFmtId="30" formatCode="@"/>
    </dxf>
    <dxf>
      <numFmt numFmtId="30" formatCode="@"/>
    </dxf>
    <dxf>
      <numFmt numFmtId="164" formatCode="dd\-mmm\-yyyy"/>
    </dxf>
    <dxf>
      <numFmt numFmtId="165" formatCode="[$KES]\ #,##0.00"/>
    </dxf>
    <dxf>
      <numFmt numFmtId="164" formatCode="dd\-mmm\-yyyy"/>
    </dxf>
    <dxf>
      <numFmt numFmtId="14" formatCode="0.00%"/>
    </dxf>
    <dxf>
      <alignment horizontal="general" vertical="bottom" textRotation="0" wrapText="1" indent="0" justifyLastLine="0" shrinkToFit="0" readingOrder="0"/>
    </dxf>
    <dxf>
      <numFmt numFmtId="165" formatCode="[$KES]\ #,##0.00"/>
    </dxf>
    <dxf>
      <numFmt numFmtId="165" formatCode="[$KES]\ #,##0.00"/>
    </dxf>
    <dxf>
      <numFmt numFmtId="165" formatCode="[$KES]\ #,##0.00"/>
    </dxf>
    <dxf>
      <numFmt numFmtId="165" formatCode="[$KES]\ #,##0.00"/>
    </dxf>
    <dxf>
      <numFmt numFmtId="165" formatCode="[$KES]\ #,##0.00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165" formatCode="[$KES]\ #,##0.00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F012E1-EB53-441E-B83E-792D2B96436A}" name="tblCustomers" displayName="tblCustomers" ref="A1:L11" totalsRowShown="0">
  <autoFilter ref="A1:L11" xr:uid="{79F012E1-EB53-441E-B83E-792D2B96436A}"/>
  <tableColumns count="12">
    <tableColumn id="1" xr3:uid="{836E836B-C9F3-4865-A0DD-D0CDDC60401C}" name="Cust_ID" dataDxfId="31"/>
    <tableColumn id="2" xr3:uid="{5E622A13-2F7D-4404-8839-B0F8C114CF83}" name="Company Name"/>
    <tableColumn id="3" xr3:uid="{95CBB4C3-A954-40E0-AC20-97C369CD6015}" name="Contact Person"/>
    <tableColumn id="4" xr3:uid="{DBF12834-6B8A-41C0-9C0E-02036E33E06D}" name="Email"/>
    <tableColumn id="5" xr3:uid="{BC69B44E-3307-4A3F-B1C1-27BAD4712FB2}" name="Phone" dataDxfId="28"/>
    <tableColumn id="6" xr3:uid="{00FEAD34-BD66-4797-98B8-28A42EA3EE2F}" name="Billing Address" dataDxfId="27"/>
    <tableColumn id="7" xr3:uid="{10F0B4F5-8EC1-4791-8DB0-1D62B2F4FCFD}" name="City"/>
    <tableColumn id="8" xr3:uid="{B430D2A7-78C8-43A2-9E19-C4EC4D1A600C}" name="Country"/>
    <tableColumn id="9" xr3:uid="{B710C604-C84C-48E6-AC66-0A5A70477676}" name="Tax ID (PIN/EIN/VAT)" dataDxfId="30"/>
    <tableColumn id="10" xr3:uid="{0FE6B27C-C466-4D0A-B016-45D3EEC4853A}" name="Credit Terms" dataDxfId="29"/>
    <tableColumn id="11" xr3:uid="{B265B1C0-EF48-4D74-8820-7762ACC581A4}" name="Status"/>
    <tableColumn id="12" xr3:uid="{4792581B-F38E-4591-8271-769DA95B2C78}" name="Not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DBDCD6-40BC-407D-A046-878930B6B053}" name="tblProducts" displayName="tblProducts" ref="A1:H21" totalsRowShown="0">
  <autoFilter ref="A1:H21" xr:uid="{16DBDCD6-40BC-407D-A046-878930B6B053}"/>
  <tableColumns count="8">
    <tableColumn id="1" xr3:uid="{B36CFF60-1040-49C2-8C97-B3B170DCA1EA}" name="SKU" dataDxfId="26"/>
    <tableColumn id="2" xr3:uid="{0B87BF68-ADBF-4769-A4F5-8DA00517613E}" name="Product/Service Name"/>
    <tableColumn id="3" xr3:uid="{B81C9FB3-4EAE-4231-9DCC-B637925287AB}" name="Description" dataDxfId="22"/>
    <tableColumn id="4" xr3:uid="{2452EEB2-440F-471D-AB62-60D6181A053F}" name="Category" dataDxfId="23"/>
    <tableColumn id="5" xr3:uid="{6B280DF9-4B6B-4FFF-A709-8EF4542AA9DC}" name="Unit Price" dataDxfId="24"/>
    <tableColumn id="6" xr3:uid="{C8342CE7-BA4C-4432-A8EF-0EF09620B039}" name="Unit"/>
    <tableColumn id="7" xr3:uid="{16D75513-914B-494A-ABC3-695D79984D4F}" name="Tax Category"/>
    <tableColumn id="8" xr3:uid="{09C8EDA0-EE94-455B-9051-616809ADB7FD}" name="Status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D6E0F0-CC8F-4465-BBAC-F577A0C46A8A}" name="tblTransactions" displayName="tblTransactions" ref="A1:O2" insertRow="1" totalsRowShown="0">
  <autoFilter ref="A1:O2" xr:uid="{26D6E0F0-CC8F-4465-BBAC-F577A0C46A8A}"/>
  <tableColumns count="15">
    <tableColumn id="1" xr3:uid="{5FAE7007-0883-42B7-BC7A-4D6D6EB53353}" name="Invoice No" dataDxfId="11"/>
    <tableColumn id="2" xr3:uid="{494AEFCB-206D-4F0A-A629-9099CF8AC491}" name="Cust_ID" dataDxfId="10"/>
    <tableColumn id="3" xr3:uid="{D7C682B1-96D8-4340-A647-011EE39D77D7}" name="Customer Name"/>
    <tableColumn id="4" xr3:uid="{58D381C1-3139-4FF7-9910-57A200D94DBB}" name="Date Issued" dataDxfId="14"/>
    <tableColumn id="5" xr3:uid="{B41052C7-5D67-4569-94D0-52AA4D064372}" name="Due Date" dataDxfId="12"/>
    <tableColumn id="6" xr3:uid="{E5D302DE-2DE9-4317-BDBB-2C1EF72E7B5E}" name="Subtotal" dataDxfId="13"/>
    <tableColumn id="7" xr3:uid="{04D0735E-702C-404E-A50C-C25904A08490}" name="Tax Amount" dataDxfId="21"/>
    <tableColumn id="8" xr3:uid="{F9C14708-AD79-49E6-B09C-707AD9F0773A}" name="Discount" dataDxfId="20"/>
    <tableColumn id="9" xr3:uid="{92372B9B-4707-4990-A31C-13FB6DFC8B91}" name="Grand Total" dataDxfId="19"/>
    <tableColumn id="10" xr3:uid="{51DAC083-2C20-45F3-B94F-5E753E6CB704}" name="Amount Paid" dataDxfId="18"/>
    <tableColumn id="11" xr3:uid="{C1DFE7CB-9D03-49CD-A581-BF44D198829C}" name="Balance" dataDxfId="17"/>
    <tableColumn id="12" xr3:uid="{2186B07D-7B83-4EDC-B368-4F0B970D8AEA}" name="Status"/>
    <tableColumn id="13" xr3:uid="{D4011ECD-E12E-45B7-A947-EC9832FD08DA}" name="Jurisdiction"/>
    <tableColumn id="14" xr3:uid="{C9E12E19-7B7C-4425-97B1-50E8ABD7CFE2}" name="Tax Rate Applied" dataDxfId="15"/>
    <tableColumn id="15" xr3:uid="{6655C4D0-80A4-45E5-86A9-5FAE6696769A}" name="Notes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E5B34B-25BD-4F88-B47E-76DFB8BC729F}" name="tblPaymentLog" displayName="tblPaymentLog" ref="A1:I2" insertRow="1" totalsRowShown="0">
  <autoFilter ref="A1:I2" xr:uid="{33E5B34B-25BD-4F88-B47E-76DFB8BC729F}"/>
  <tableColumns count="9">
    <tableColumn id="1" xr3:uid="{D52C95E4-7499-497E-9D87-4C2AB8B00064}" name="Payment ID" dataDxfId="8"/>
    <tableColumn id="2" xr3:uid="{0EC0C114-BA4C-4190-B02A-4EC3728B9771}" name="Invoice No" dataDxfId="7"/>
    <tableColumn id="3" xr3:uid="{1506F73C-6342-4B3D-875A-857602507978}" name="Cust_ID" dataDxfId="5"/>
    <tableColumn id="4" xr3:uid="{43BCA67A-E7D8-4362-A378-3B67A629414D}" name="Payment Date" dataDxfId="6"/>
    <tableColumn id="5" xr3:uid="{F5363C24-EB93-4E8C-A88C-1BC74C03D56A}" name="Amount Paid" dataDxfId="9"/>
    <tableColumn id="6" xr3:uid="{3A93E0F5-4D36-4545-BD3E-174F75DC6B0E}" name="Payment Method"/>
    <tableColumn id="7" xr3:uid="{9809FBFF-B574-47F0-9101-44CC80D81488}" name="Reference No"/>
    <tableColumn id="8" xr3:uid="{19A38306-E307-45F9-AB7A-FFCE0579BA8B}" name="Received By"/>
    <tableColumn id="9" xr3:uid="{2FE3AA6A-068D-4F77-AB2E-142A9DBFB98A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2B66DF-9A85-4EE7-AF4F-8EB34F069BA9}" name="tblTaxSummary" displayName="tblTaxSummary" ref="A6:G7" insertRow="1" totalsRowShown="0">
  <autoFilter ref="A6:G7" xr:uid="{A92B66DF-9A85-4EE7-AF4F-8EB34F069BA9}"/>
  <tableColumns count="7">
    <tableColumn id="1" xr3:uid="{386D9170-6239-44C1-BFD3-61A651E1528A}" name="Month"/>
    <tableColumn id="2" xr3:uid="{085B7FF9-AF8E-433F-83C0-DD45D762D1BA}" name="Jurisdiction"/>
    <tableColumn id="3" xr3:uid="{2BC28CFC-E55A-44A3-8F7B-C37EF196F247}" name="Total Revenue" dataDxfId="4"/>
    <tableColumn id="4" xr3:uid="{FD4AF5FF-A506-43E4-B49A-614CC620356E}" name="Total Tax Collected" dataDxfId="3"/>
    <tableColumn id="5" xr3:uid="{9869CE00-E8E7-4937-B3C9-21CD3E52A760}" name="Tax Rate" dataDxfId="2"/>
    <tableColumn id="6" xr3:uid="{9478F488-88E7-4A4A-BB3A-CFA40525FD42}" name="Invoices Count" dataDxfId="0"/>
    <tableColumn id="7" xr3:uid="{1CC383FF-F2A3-420B-9DC3-16FF7A6A6BBE}" name="Outstanding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24969-A4A0-4824-BE6E-770653E122FF}">
  <sheetPr codeName="Sheet1">
    <tabColor rgb="FF1B4F72"/>
  </sheetPr>
  <dimension ref="A1:J28"/>
  <sheetViews>
    <sheetView showGridLines="0" tabSelected="1" workbookViewId="0"/>
  </sheetViews>
  <sheetFormatPr defaultRowHeight="14.4" x14ac:dyDescent="0.3"/>
  <cols>
    <col min="1" max="10" width="12.77734375" customWidth="1"/>
  </cols>
  <sheetData>
    <row r="1" spans="1:10" ht="34.950000000000003" customHeight="1" x14ac:dyDescent="0.3">
      <c r="A1" s="57" t="s">
        <v>289</v>
      </c>
      <c r="B1" s="58"/>
      <c r="C1" s="58"/>
      <c r="D1" s="58"/>
      <c r="E1" s="58"/>
      <c r="F1" s="58"/>
      <c r="G1" s="58"/>
      <c r="H1" s="58"/>
      <c r="I1" s="58"/>
      <c r="J1" s="58"/>
    </row>
    <row r="2" spans="1:10" x14ac:dyDescent="0.3">
      <c r="A2" s="58"/>
      <c r="B2" s="58"/>
      <c r="C2" s="58"/>
      <c r="D2" s="58"/>
      <c r="E2" s="58"/>
      <c r="F2" s="58"/>
      <c r="G2" s="58"/>
      <c r="H2" s="58"/>
      <c r="I2" s="58"/>
      <c r="J2" s="58"/>
    </row>
    <row r="3" spans="1:10" x14ac:dyDescent="0.3">
      <c r="A3" s="58"/>
      <c r="B3" s="58"/>
      <c r="C3" s="58"/>
      <c r="D3" s="58"/>
      <c r="E3" s="58"/>
      <c r="F3" s="58"/>
      <c r="G3" s="58"/>
      <c r="H3" s="58"/>
      <c r="I3" s="58"/>
      <c r="J3" s="58"/>
    </row>
    <row r="4" spans="1:10" ht="15" thickBot="1" x14ac:dyDescent="0.35"/>
    <row r="5" spans="1:10" ht="15" thickBot="1" x14ac:dyDescent="0.35">
      <c r="A5" s="59" t="str">
        <f>"Total Revenue" &amp; CHAR(10) &amp; TEXT(SUMIF(Transactions!L:L,"&lt;&gt;Cancelled",Transactions!I:I), "#,##0.00")</f>
        <v>Total Revenue
0.00</v>
      </c>
      <c r="B5" s="59"/>
      <c r="C5" s="60" t="str">
        <f>"Outstanding" &amp; CHAR(10) &amp; TEXT(SUM(Transactions!K:K), "#,##0.00")</f>
        <v>Outstanding
0.00</v>
      </c>
      <c r="D5" s="60"/>
      <c r="E5" s="61" t="str">
        <f>"Invoices Issued" &amp; CHAR(10) &amp; TEXT(COUNTA(Transactions!A:A)-1, "0")</f>
        <v>Invoices Issued
0</v>
      </c>
      <c r="F5" s="61"/>
      <c r="G5" s="62" t="str">
        <f>"Overdue Count" &amp; CHAR(10) &amp; TEXT(COUNTIF(Transactions!L:L,"Overdue"), "0")</f>
        <v>Overdue Count
0</v>
      </c>
      <c r="H5" s="62"/>
      <c r="I5" s="63" t="str">
        <f>"Tax Collected" &amp; CHAR(10) &amp; TEXT(SUMIF(Transactions!L:L,"&lt;&gt;Cancelled",Transactions!G:G), "#,##0.00")</f>
        <v>Tax Collected
0.00</v>
      </c>
      <c r="J5" s="63"/>
    </row>
    <row r="6" spans="1:10" ht="15" thickBot="1" x14ac:dyDescent="0.35">
      <c r="A6" s="59"/>
      <c r="B6" s="59"/>
      <c r="C6" s="60"/>
      <c r="D6" s="60"/>
      <c r="E6" s="61"/>
      <c r="F6" s="61"/>
      <c r="G6" s="62"/>
      <c r="H6" s="62"/>
      <c r="I6" s="63"/>
      <c r="J6" s="63"/>
    </row>
    <row r="7" spans="1:10" ht="15" thickBot="1" x14ac:dyDescent="0.35">
      <c r="A7" s="59"/>
      <c r="B7" s="59"/>
      <c r="C7" s="60"/>
      <c r="D7" s="60"/>
      <c r="E7" s="61"/>
      <c r="F7" s="61"/>
      <c r="G7" s="62"/>
      <c r="H7" s="62"/>
      <c r="I7" s="63"/>
      <c r="J7" s="63"/>
    </row>
    <row r="8" spans="1:10" ht="15" thickBot="1" x14ac:dyDescent="0.35">
      <c r="A8" s="59"/>
      <c r="B8" s="59"/>
      <c r="C8" s="60"/>
      <c r="D8" s="60"/>
      <c r="E8" s="61"/>
      <c r="F8" s="61"/>
      <c r="G8" s="62"/>
      <c r="H8" s="62"/>
      <c r="I8" s="63"/>
      <c r="J8" s="63"/>
    </row>
    <row r="9" spans="1:10" ht="15" thickBot="1" x14ac:dyDescent="0.35">
      <c r="A9" s="59"/>
      <c r="B9" s="59"/>
      <c r="C9" s="60"/>
      <c r="D9" s="60"/>
      <c r="E9" s="61"/>
      <c r="F9" s="61"/>
      <c r="G9" s="62"/>
      <c r="H9" s="62"/>
      <c r="I9" s="63"/>
      <c r="J9" s="63"/>
    </row>
    <row r="11" spans="1:10" x14ac:dyDescent="0.3">
      <c r="A11" s="64" t="s">
        <v>290</v>
      </c>
      <c r="B11" s="5"/>
      <c r="C11" s="5"/>
      <c r="D11" s="5"/>
      <c r="E11" s="5"/>
      <c r="F11" s="5"/>
      <c r="G11" s="5"/>
      <c r="H11" s="5"/>
      <c r="I11" s="5"/>
      <c r="J11" s="5"/>
    </row>
    <row r="12" spans="1:10" ht="15" thickBot="1" x14ac:dyDescent="0.35">
      <c r="A12" s="5"/>
      <c r="B12" s="5"/>
      <c r="C12" s="5"/>
      <c r="D12" s="5"/>
      <c r="E12" s="5"/>
      <c r="F12" s="5"/>
      <c r="G12" s="5"/>
      <c r="H12" s="5"/>
      <c r="I12" s="5"/>
      <c r="J12" s="5"/>
    </row>
    <row r="13" spans="1:10" ht="25.05" customHeight="1" thickBot="1" x14ac:dyDescent="0.35">
      <c r="A13" s="65" t="s">
        <v>291</v>
      </c>
      <c r="B13" s="65"/>
      <c r="C13" s="66" t="s">
        <v>292</v>
      </c>
      <c r="D13" s="66"/>
      <c r="E13" s="67" t="s">
        <v>293</v>
      </c>
      <c r="F13" s="67"/>
      <c r="G13" s="68" t="s">
        <v>263</v>
      </c>
      <c r="H13" s="68"/>
      <c r="I13" s="69" t="s">
        <v>294</v>
      </c>
      <c r="J13" s="69"/>
    </row>
    <row r="14" spans="1:10" ht="25.05" customHeight="1" thickBot="1" x14ac:dyDescent="0.35">
      <c r="A14" s="65"/>
      <c r="B14" s="65"/>
      <c r="C14" s="66"/>
      <c r="D14" s="66"/>
      <c r="E14" s="67"/>
      <c r="F14" s="67"/>
      <c r="G14" s="68"/>
      <c r="H14" s="68"/>
      <c r="I14" s="69"/>
      <c r="J14" s="69"/>
    </row>
    <row r="15" spans="1:10" ht="15" thickBot="1" x14ac:dyDescent="0.35"/>
    <row r="16" spans="1:10" ht="25.05" customHeight="1" thickBot="1" x14ac:dyDescent="0.35">
      <c r="A16" s="70" t="s">
        <v>295</v>
      </c>
      <c r="B16" s="70"/>
      <c r="C16" s="70" t="s">
        <v>296</v>
      </c>
      <c r="D16" s="70"/>
      <c r="E16" s="67" t="s">
        <v>297</v>
      </c>
      <c r="F16" s="67"/>
      <c r="G16" s="71" t="s">
        <v>298</v>
      </c>
      <c r="H16" s="71"/>
      <c r="I16" s="72" t="s">
        <v>299</v>
      </c>
      <c r="J16" s="72"/>
    </row>
    <row r="17" spans="1:10" ht="25.05" customHeight="1" thickBot="1" x14ac:dyDescent="0.35">
      <c r="A17" s="70"/>
      <c r="B17" s="70"/>
      <c r="C17" s="70"/>
      <c r="D17" s="70"/>
      <c r="E17" s="67"/>
      <c r="F17" s="67"/>
      <c r="G17" s="71"/>
      <c r="H17" s="71"/>
      <c r="I17" s="72"/>
      <c r="J17" s="72"/>
    </row>
    <row r="20" spans="1:10" ht="15.6" x14ac:dyDescent="0.3">
      <c r="A20" s="73" t="s">
        <v>300</v>
      </c>
      <c r="B20" s="1"/>
      <c r="C20" s="1"/>
      <c r="D20" s="1"/>
      <c r="E20" s="1"/>
      <c r="F20" s="1"/>
      <c r="G20" s="1"/>
      <c r="H20" s="1"/>
      <c r="I20" s="1"/>
      <c r="J20" s="1"/>
    </row>
    <row r="21" spans="1:10" x14ac:dyDescent="0.3">
      <c r="A21" s="74" t="s">
        <v>217</v>
      </c>
      <c r="B21" s="74"/>
      <c r="C21" s="74" t="s">
        <v>301</v>
      </c>
      <c r="D21" s="74"/>
      <c r="E21" s="74" t="s">
        <v>302</v>
      </c>
      <c r="F21" s="74"/>
      <c r="G21" s="74" t="s">
        <v>303</v>
      </c>
      <c r="H21" s="74"/>
      <c r="I21" s="74" t="s">
        <v>58</v>
      </c>
      <c r="J21" s="74"/>
    </row>
    <row r="22" spans="1:10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</row>
    <row r="24" spans="1:10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</row>
    <row r="26" spans="1:10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</row>
    <row r="28" spans="1:1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</row>
  </sheetData>
  <sheetProtection algorithmName="SHA-512" hashValue="ccPDJ1xCR7XQT2Tsun6BIlD6Spv8cgzcWZ5f540i9tveCUxMu+VrZufVC5ZhcylOMdAEb+p92fld8Q2+i4omgA==" saltValue="Jx731LLpW1TmMbhLxYtRkQ==" spinCount="100000" sheet="1" objects="1" scenarios="1"/>
  <mergeCells count="18">
    <mergeCell ref="A16:B17"/>
    <mergeCell ref="C16:D17"/>
    <mergeCell ref="E16:F17"/>
    <mergeCell ref="G16:H17"/>
    <mergeCell ref="I16:J17"/>
    <mergeCell ref="A20:J20"/>
    <mergeCell ref="A11:J12"/>
    <mergeCell ref="A13:B14"/>
    <mergeCell ref="C13:D14"/>
    <mergeCell ref="E13:F14"/>
    <mergeCell ref="G13:H14"/>
    <mergeCell ref="I13:J14"/>
    <mergeCell ref="A1:J3"/>
    <mergeCell ref="A5:B9"/>
    <mergeCell ref="C5:D9"/>
    <mergeCell ref="E5:F9"/>
    <mergeCell ref="G5:H9"/>
    <mergeCell ref="I5:J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87B5F-0C1F-4D70-A854-FD994DC6F1E0}">
  <sheetPr codeName="Sheet2">
    <tabColor rgb="FFE67E22"/>
  </sheetPr>
  <dimension ref="A1:H40"/>
  <sheetViews>
    <sheetView showGridLines="0" workbookViewId="0"/>
  </sheetViews>
  <sheetFormatPr defaultRowHeight="14.4" x14ac:dyDescent="0.3"/>
  <cols>
    <col min="1" max="1" width="5.77734375" customWidth="1"/>
    <col min="2" max="2" width="12.77734375" customWidth="1"/>
    <col min="3" max="3" width="30.77734375" style="10" customWidth="1"/>
    <col min="4" max="4" width="8.77734375" customWidth="1"/>
    <col min="5" max="5" width="12.77734375" customWidth="1"/>
    <col min="6" max="6" width="10.77734375" customWidth="1"/>
    <col min="7" max="7" width="20.77734375" customWidth="1"/>
    <col min="8" max="8" width="15.77734375" customWidth="1"/>
  </cols>
  <sheetData>
    <row r="1" spans="1:8" ht="23.4" x14ac:dyDescent="0.45">
      <c r="A1" s="12" t="s">
        <v>233</v>
      </c>
      <c r="B1" s="5"/>
      <c r="C1" s="5"/>
      <c r="D1" s="13" t="str">
        <f>IF(Settings!B2="","",Settings!B2)</f>
        <v/>
      </c>
    </row>
    <row r="2" spans="1:8" x14ac:dyDescent="0.3">
      <c r="A2" s="5"/>
      <c r="B2" s="5"/>
      <c r="C2" s="5"/>
      <c r="D2" t="str">
        <f>IF(AND(Settings!B3="",Settings!B4=""),"",Settings!B3 &amp; " " &amp; Settings!B4)</f>
        <v/>
      </c>
    </row>
    <row r="3" spans="1:8" x14ac:dyDescent="0.3">
      <c r="A3" s="5"/>
      <c r="B3" s="5"/>
      <c r="C3" s="5"/>
      <c r="D3" t="str">
        <f>IF(AND(Settings!B5="",Settings!B6=""),"",Settings!B5 &amp; " | " &amp; Settings!B6)</f>
        <v/>
      </c>
    </row>
    <row r="4" spans="1:8" x14ac:dyDescent="0.3">
      <c r="A4" s="5"/>
      <c r="B4" s="5"/>
      <c r="C4" s="5"/>
      <c r="D4" t="str">
        <f>IF(Settings!B7="","",Settings!B7)</f>
        <v/>
      </c>
    </row>
    <row r="5" spans="1:8" x14ac:dyDescent="0.3">
      <c r="A5" s="5"/>
      <c r="B5" s="5"/>
      <c r="C5" s="5"/>
    </row>
    <row r="6" spans="1:8" ht="40.049999999999997" customHeight="1" x14ac:dyDescent="0.6">
      <c r="A6" s="14" t="s">
        <v>234</v>
      </c>
      <c r="B6" s="3"/>
      <c r="C6" s="3"/>
      <c r="D6" s="3"/>
      <c r="E6" s="3"/>
      <c r="F6" s="3"/>
      <c r="G6" s="3"/>
      <c r="H6" s="3"/>
    </row>
    <row r="8" spans="1:8" x14ac:dyDescent="0.3">
      <c r="A8" s="15" t="s">
        <v>235</v>
      </c>
      <c r="B8" s="15"/>
      <c r="C8" s="35"/>
      <c r="E8" s="16" t="s">
        <v>239</v>
      </c>
    </row>
    <row r="9" spans="1:8" x14ac:dyDescent="0.3">
      <c r="A9" s="15" t="s">
        <v>236</v>
      </c>
      <c r="B9" s="15"/>
      <c r="C9" s="36"/>
    </row>
    <row r="10" spans="1:8" x14ac:dyDescent="0.3">
      <c r="A10" s="15" t="s">
        <v>237</v>
      </c>
      <c r="B10" s="15"/>
      <c r="C10" s="36"/>
    </row>
    <row r="11" spans="1:8" x14ac:dyDescent="0.3">
      <c r="A11" s="15" t="s">
        <v>238</v>
      </c>
      <c r="B11" s="15"/>
      <c r="C11" s="35"/>
    </row>
    <row r="14" spans="1:8" ht="15" thickBot="1" x14ac:dyDescent="0.35">
      <c r="A14" s="27" t="s">
        <v>240</v>
      </c>
      <c r="B14" s="27" t="s">
        <v>139</v>
      </c>
      <c r="C14" s="37" t="s">
        <v>141</v>
      </c>
      <c r="D14" s="27" t="s">
        <v>241</v>
      </c>
      <c r="E14" s="27" t="s">
        <v>143</v>
      </c>
      <c r="F14" s="27" t="s">
        <v>242</v>
      </c>
      <c r="G14" s="27" t="s">
        <v>243</v>
      </c>
      <c r="H14" s="27" t="s">
        <v>244</v>
      </c>
    </row>
    <row r="15" spans="1:8" x14ac:dyDescent="0.3">
      <c r="A15" s="24">
        <v>1</v>
      </c>
      <c r="B15" s="24"/>
      <c r="C15" s="38"/>
      <c r="D15" s="24"/>
      <c r="E15" s="25"/>
      <c r="F15" s="26"/>
      <c r="G15" s="24"/>
      <c r="H15" s="25" t="str">
        <f>IF(D15="","",D15*E15*(1-F15/100))</f>
        <v/>
      </c>
    </row>
    <row r="16" spans="1:8" x14ac:dyDescent="0.3">
      <c r="A16" s="21">
        <v>2</v>
      </c>
      <c r="B16" s="21"/>
      <c r="C16" s="39"/>
      <c r="D16" s="21"/>
      <c r="E16" s="22"/>
      <c r="F16" s="23"/>
      <c r="G16" s="21"/>
      <c r="H16" s="22" t="str">
        <f>IF(D16="","",D16*E16*(1-F16/100))</f>
        <v/>
      </c>
    </row>
    <row r="17" spans="1:8" x14ac:dyDescent="0.3">
      <c r="A17" s="18">
        <v>3</v>
      </c>
      <c r="B17" s="18"/>
      <c r="C17" s="40"/>
      <c r="D17" s="18"/>
      <c r="E17" s="19"/>
      <c r="F17" s="20"/>
      <c r="G17" s="18"/>
      <c r="H17" s="19" t="str">
        <f>IF(D17="","",D17*E17*(1-F17/100))</f>
        <v/>
      </c>
    </row>
    <row r="18" spans="1:8" x14ac:dyDescent="0.3">
      <c r="A18" s="21">
        <v>4</v>
      </c>
      <c r="B18" s="21"/>
      <c r="C18" s="39"/>
      <c r="D18" s="21"/>
      <c r="E18" s="22"/>
      <c r="F18" s="23"/>
      <c r="G18" s="21"/>
      <c r="H18" s="22" t="str">
        <f>IF(D18="","",D18*E18*(1-F18/100))</f>
        <v/>
      </c>
    </row>
    <row r="19" spans="1:8" x14ac:dyDescent="0.3">
      <c r="A19" s="18">
        <v>5</v>
      </c>
      <c r="B19" s="18"/>
      <c r="C19" s="40"/>
      <c r="D19" s="18"/>
      <c r="E19" s="19"/>
      <c r="F19" s="20"/>
      <c r="G19" s="18"/>
      <c r="H19" s="19" t="str">
        <f>IF(D19="","",D19*E19*(1-F19/100))</f>
        <v/>
      </c>
    </row>
    <row r="20" spans="1:8" x14ac:dyDescent="0.3">
      <c r="A20" s="21">
        <v>6</v>
      </c>
      <c r="B20" s="21"/>
      <c r="C20" s="39"/>
      <c r="D20" s="21"/>
      <c r="E20" s="22"/>
      <c r="F20" s="23"/>
      <c r="G20" s="21"/>
      <c r="H20" s="22" t="str">
        <f>IF(D20="","",D20*E20*(1-F20/100))</f>
        <v/>
      </c>
    </row>
    <row r="21" spans="1:8" x14ac:dyDescent="0.3">
      <c r="A21" s="18">
        <v>7</v>
      </c>
      <c r="B21" s="18"/>
      <c r="C21" s="40"/>
      <c r="D21" s="18"/>
      <c r="E21" s="19"/>
      <c r="F21" s="20"/>
      <c r="G21" s="18"/>
      <c r="H21" s="19" t="str">
        <f>IF(D21="","",D21*E21*(1-F21/100))</f>
        <v/>
      </c>
    </row>
    <row r="22" spans="1:8" x14ac:dyDescent="0.3">
      <c r="A22" s="21">
        <v>8</v>
      </c>
      <c r="B22" s="21"/>
      <c r="C22" s="39"/>
      <c r="D22" s="21"/>
      <c r="E22" s="22"/>
      <c r="F22" s="23"/>
      <c r="G22" s="21"/>
      <c r="H22" s="22" t="str">
        <f>IF(D22="","",D22*E22*(1-F22/100))</f>
        <v/>
      </c>
    </row>
    <row r="23" spans="1:8" x14ac:dyDescent="0.3">
      <c r="A23" s="18">
        <v>9</v>
      </c>
      <c r="B23" s="18"/>
      <c r="C23" s="40"/>
      <c r="D23" s="18"/>
      <c r="E23" s="19"/>
      <c r="F23" s="20"/>
      <c r="G23" s="18"/>
      <c r="H23" s="19" t="str">
        <f>IF(D23="","",D23*E23*(1-F23/100))</f>
        <v/>
      </c>
    </row>
    <row r="24" spans="1:8" x14ac:dyDescent="0.3">
      <c r="A24" s="21">
        <v>10</v>
      </c>
      <c r="B24" s="21"/>
      <c r="C24" s="39"/>
      <c r="D24" s="21"/>
      <c r="E24" s="22"/>
      <c r="F24" s="23"/>
      <c r="G24" s="21"/>
      <c r="H24" s="22" t="str">
        <f>IF(D24="","",D24*E24*(1-F24/100))</f>
        <v/>
      </c>
    </row>
    <row r="25" spans="1:8" x14ac:dyDescent="0.3">
      <c r="A25" s="18">
        <v>11</v>
      </c>
      <c r="B25" s="18"/>
      <c r="C25" s="40"/>
      <c r="D25" s="18"/>
      <c r="E25" s="19"/>
      <c r="F25" s="20"/>
      <c r="G25" s="18"/>
      <c r="H25" s="19" t="str">
        <f>IF(D25="","",D25*E25*(1-F25/100))</f>
        <v/>
      </c>
    </row>
    <row r="26" spans="1:8" x14ac:dyDescent="0.3">
      <c r="A26" s="21">
        <v>12</v>
      </c>
      <c r="B26" s="21"/>
      <c r="C26" s="39"/>
      <c r="D26" s="21"/>
      <c r="E26" s="22"/>
      <c r="F26" s="23"/>
      <c r="G26" s="21"/>
      <c r="H26" s="22" t="str">
        <f>IF(D26="","",D26*E26*(1-F26/100))</f>
        <v/>
      </c>
    </row>
    <row r="27" spans="1:8" x14ac:dyDescent="0.3">
      <c r="A27" s="18">
        <v>13</v>
      </c>
      <c r="B27" s="18"/>
      <c r="C27" s="40"/>
      <c r="D27" s="18"/>
      <c r="E27" s="19"/>
      <c r="F27" s="20"/>
      <c r="G27" s="18"/>
      <c r="H27" s="19" t="str">
        <f>IF(D27="","",D27*E27*(1-F27/100))</f>
        <v/>
      </c>
    </row>
    <row r="28" spans="1:8" x14ac:dyDescent="0.3">
      <c r="A28" s="21">
        <v>14</v>
      </c>
      <c r="B28" s="21"/>
      <c r="C28" s="39"/>
      <c r="D28" s="21"/>
      <c r="E28" s="22"/>
      <c r="F28" s="23"/>
      <c r="G28" s="21"/>
      <c r="H28" s="22" t="str">
        <f>IF(D28="","",D28*E28*(1-F28/100))</f>
        <v/>
      </c>
    </row>
    <row r="29" spans="1:8" x14ac:dyDescent="0.3">
      <c r="A29" s="18">
        <v>15</v>
      </c>
      <c r="B29" s="18"/>
      <c r="C29" s="40"/>
      <c r="D29" s="18"/>
      <c r="E29" s="19"/>
      <c r="F29" s="20"/>
      <c r="G29" s="18"/>
      <c r="H29" s="19" t="str">
        <f>IF(D29="","",D29*E29*(1-F29/100))</f>
        <v/>
      </c>
    </row>
    <row r="31" spans="1:8" x14ac:dyDescent="0.3">
      <c r="G31" s="28" t="s">
        <v>221</v>
      </c>
      <c r="H31" s="29" t="str">
        <f>IF(SUM(H15:H29)=0,"",SUM(H15:H29))</f>
        <v/>
      </c>
    </row>
    <row r="32" spans="1:8" x14ac:dyDescent="0.3">
      <c r="G32" s="30" t="s">
        <v>223</v>
      </c>
      <c r="H32" s="31" t="e">
        <f>H31*Settings!B47</f>
        <v>#VALUE!</v>
      </c>
    </row>
    <row r="33" spans="1:8" x14ac:dyDescent="0.3">
      <c r="G33" s="30" t="s">
        <v>245</v>
      </c>
      <c r="H33" s="31">
        <v>0</v>
      </c>
    </row>
    <row r="34" spans="1:8" x14ac:dyDescent="0.3">
      <c r="G34" s="30"/>
      <c r="H34" s="30"/>
    </row>
    <row r="35" spans="1:8" ht="18" x14ac:dyDescent="0.35">
      <c r="G35" s="32" t="s">
        <v>246</v>
      </c>
      <c r="H35" s="33" t="e">
        <f>IF(N(H31)-H32+H33=0,"",N(H31)-H32+H33)</f>
        <v>#VALUE!</v>
      </c>
    </row>
    <row r="37" spans="1:8" x14ac:dyDescent="0.3">
      <c r="A37" s="7" t="s">
        <v>247</v>
      </c>
    </row>
    <row r="38" spans="1:8" x14ac:dyDescent="0.3">
      <c r="A38" t="s">
        <v>248</v>
      </c>
    </row>
    <row r="39" spans="1:8" x14ac:dyDescent="0.3">
      <c r="A39" t="s">
        <v>249</v>
      </c>
    </row>
    <row r="40" spans="1:8" x14ac:dyDescent="0.3">
      <c r="A40" s="34" t="s">
        <v>250</v>
      </c>
    </row>
  </sheetData>
  <sheetProtection algorithmName="SHA-512" hashValue="avGrSQh6zAw6AjUR+q4KYEtvjFJq9PBXOua5aVYIrZDbQzmT8Dwv7ufaLxo5JuJZehkjbmX+JJP6TON9Dew5oA==" saltValue="ztVRK81NuDwCs6gNmrtwYg==" spinCount="100000" sheet="1" objects="1" scenarios="1"/>
  <mergeCells count="6">
    <mergeCell ref="A1:C5"/>
    <mergeCell ref="A6:H6"/>
    <mergeCell ref="A8:B8"/>
    <mergeCell ref="A9:B9"/>
    <mergeCell ref="A10:B10"/>
    <mergeCell ref="A11:B11"/>
  </mergeCells>
  <pageMargins left="0.5" right="0.5" top="0.5" bottom="0.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BBC0F-31B7-45D1-B1B3-8A784AC46A7E}">
  <sheetPr codeName="Sheet3">
    <tabColor rgb="FFE67E22"/>
  </sheetPr>
  <dimension ref="A1:F24"/>
  <sheetViews>
    <sheetView showGridLines="0" workbookViewId="0"/>
  </sheetViews>
  <sheetFormatPr defaultRowHeight="14.4" x14ac:dyDescent="0.3"/>
  <sheetData>
    <row r="1" spans="1:6" ht="21" x14ac:dyDescent="0.4">
      <c r="A1" s="41" t="str">
        <f>IF(Settings!B2="","",Settings!B2)</f>
        <v/>
      </c>
      <c r="B1" s="3"/>
      <c r="C1" s="3"/>
      <c r="D1" s="3"/>
      <c r="E1" s="3"/>
      <c r="F1" s="3"/>
    </row>
    <row r="2" spans="1:6" x14ac:dyDescent="0.3">
      <c r="A2" s="3" t="str">
        <f>IF(Settings!B3="","",Settings!B3)</f>
        <v/>
      </c>
      <c r="B2" s="3"/>
      <c r="C2" s="3"/>
      <c r="D2" s="3"/>
      <c r="E2" s="3"/>
      <c r="F2" s="3"/>
    </row>
    <row r="6" spans="1:6" ht="40.049999999999997" customHeight="1" x14ac:dyDescent="0.6">
      <c r="A6" s="14" t="s">
        <v>251</v>
      </c>
      <c r="B6" s="3"/>
      <c r="C6" s="3"/>
      <c r="D6" s="3"/>
      <c r="E6" s="3"/>
      <c r="F6" s="3"/>
    </row>
    <row r="8" spans="1:6" x14ac:dyDescent="0.3">
      <c r="A8" s="7" t="s">
        <v>252</v>
      </c>
    </row>
    <row r="9" spans="1:6" x14ac:dyDescent="0.3">
      <c r="A9" s="7" t="s">
        <v>236</v>
      </c>
    </row>
    <row r="10" spans="1:6" x14ac:dyDescent="0.3">
      <c r="A10" s="7" t="s">
        <v>253</v>
      </c>
    </row>
    <row r="11" spans="1:6" x14ac:dyDescent="0.3">
      <c r="A11" s="7" t="s">
        <v>254</v>
      </c>
    </row>
    <row r="12" spans="1:6" x14ac:dyDescent="0.3">
      <c r="A12" s="7" t="s">
        <v>255</v>
      </c>
    </row>
    <row r="14" spans="1:6" x14ac:dyDescent="0.3">
      <c r="A14" s="2" t="s">
        <v>256</v>
      </c>
      <c r="B14" s="1"/>
      <c r="C14" s="1"/>
      <c r="D14" s="1"/>
      <c r="E14" s="1"/>
      <c r="F14" s="1"/>
    </row>
    <row r="16" spans="1:6" x14ac:dyDescent="0.3">
      <c r="A16" s="42" t="s">
        <v>257</v>
      </c>
      <c r="B16" s="22"/>
    </row>
    <row r="17" spans="1:6" x14ac:dyDescent="0.3">
      <c r="A17" s="42" t="s">
        <v>225</v>
      </c>
      <c r="B17" s="22"/>
    </row>
    <row r="18" spans="1:6" x14ac:dyDescent="0.3">
      <c r="A18" s="42" t="s">
        <v>230</v>
      </c>
      <c r="B18" s="22"/>
    </row>
    <row r="19" spans="1:6" x14ac:dyDescent="0.3">
      <c r="A19" s="42" t="s">
        <v>231</v>
      </c>
      <c r="B19" s="22"/>
    </row>
    <row r="20" spans="1:6" x14ac:dyDescent="0.3">
      <c r="A20" s="42" t="s">
        <v>226</v>
      </c>
      <c r="B20" s="22">
        <f>B16-B17</f>
        <v>0</v>
      </c>
    </row>
    <row r="22" spans="1:6" x14ac:dyDescent="0.3">
      <c r="A22" t="s">
        <v>258</v>
      </c>
      <c r="D22" t="s">
        <v>259</v>
      </c>
    </row>
    <row r="24" spans="1:6" x14ac:dyDescent="0.3">
      <c r="A24" s="43" t="s">
        <v>260</v>
      </c>
      <c r="B24" s="3"/>
      <c r="C24" s="3"/>
      <c r="D24" s="3"/>
      <c r="E24" s="3"/>
      <c r="F24" s="3"/>
    </row>
  </sheetData>
  <sheetProtection algorithmName="SHA-512" hashValue="L/eGd0hfkYUjguQrdzvPG2FiXkcb9hwi6BgdkM0X9DDwjM0JsMNr2PM2osGOjNA0b0rdg0p23Hnn6KmX/28JTw==" saltValue="7xSNnRv9S7xxx6jD5QXmoQ==" spinCount="100000" sheet="1" objects="1" scenarios="1"/>
  <mergeCells count="5">
    <mergeCell ref="A1:F1"/>
    <mergeCell ref="A2:F2"/>
    <mergeCell ref="A6:F6"/>
    <mergeCell ref="A14:F14"/>
    <mergeCell ref="A24:F24"/>
  </mergeCells>
  <pageMargins left="0.5" right="0.5" top="0.5" bottom="0.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2886D-A7D6-462B-A6D0-1DFE66276B68}">
  <sheetPr codeName="Sheet4">
    <tabColor rgb="FFE67E22"/>
  </sheetPr>
  <dimension ref="A1:C44"/>
  <sheetViews>
    <sheetView showGridLines="0" workbookViewId="0"/>
  </sheetViews>
  <sheetFormatPr defaultRowHeight="14.4" x14ac:dyDescent="0.3"/>
  <cols>
    <col min="1" max="2" width="15.77734375" customWidth="1"/>
    <col min="3" max="3" width="15.77734375" style="11" customWidth="1"/>
  </cols>
  <sheetData>
    <row r="1" spans="1:3" x14ac:dyDescent="0.3">
      <c r="A1" s="49" t="str">
        <f>IF(Settings!B2="","",Settings!B2)</f>
        <v/>
      </c>
      <c r="B1" s="47"/>
      <c r="C1" s="47"/>
    </row>
    <row r="2" spans="1:3" x14ac:dyDescent="0.3">
      <c r="A2" s="47" t="str">
        <f>IF(Settings!B3="","",Settings!B3)</f>
        <v/>
      </c>
      <c r="B2" s="47"/>
      <c r="C2" s="47"/>
    </row>
    <row r="3" spans="1:3" x14ac:dyDescent="0.3">
      <c r="A3" s="47" t="str">
        <f>IF(Settings!B5="","",Settings!B5)</f>
        <v/>
      </c>
      <c r="B3" s="47"/>
      <c r="C3" s="47"/>
    </row>
    <row r="4" spans="1:3" x14ac:dyDescent="0.3">
      <c r="A4" s="47" t="s">
        <v>261</v>
      </c>
      <c r="B4" s="47"/>
      <c r="C4" s="47"/>
    </row>
    <row r="5" spans="1:3" x14ac:dyDescent="0.3">
      <c r="A5" s="46" t="s">
        <v>262</v>
      </c>
      <c r="B5" s="46"/>
      <c r="C5" s="46"/>
    </row>
    <row r="6" spans="1:3" x14ac:dyDescent="0.3">
      <c r="A6" s="48" t="s">
        <v>263</v>
      </c>
      <c r="B6" s="47"/>
      <c r="C6" s="47"/>
    </row>
    <row r="7" spans="1:3" x14ac:dyDescent="0.3">
      <c r="A7" s="44" t="s">
        <v>252</v>
      </c>
      <c r="B7" s="44"/>
      <c r="C7" s="45"/>
    </row>
    <row r="8" spans="1:3" x14ac:dyDescent="0.3">
      <c r="A8" s="44" t="s">
        <v>236</v>
      </c>
      <c r="B8" s="44"/>
      <c r="C8" s="45"/>
    </row>
    <row r="9" spans="1:3" x14ac:dyDescent="0.3">
      <c r="A9" s="44" t="s">
        <v>264</v>
      </c>
      <c r="B9" s="44"/>
      <c r="C9" s="45"/>
    </row>
    <row r="10" spans="1:3" x14ac:dyDescent="0.3">
      <c r="A10" s="46" t="s">
        <v>262</v>
      </c>
      <c r="B10" s="46"/>
      <c r="C10" s="46"/>
    </row>
    <row r="11" spans="1:3" x14ac:dyDescent="0.3">
      <c r="A11" s="50" t="s">
        <v>265</v>
      </c>
      <c r="B11" s="46"/>
      <c r="C11" s="46"/>
    </row>
    <row r="12" spans="1:3" x14ac:dyDescent="0.3">
      <c r="A12" s="46" t="s">
        <v>262</v>
      </c>
      <c r="B12" s="46"/>
      <c r="C12" s="46"/>
    </row>
    <row r="13" spans="1:3" x14ac:dyDescent="0.3">
      <c r="A13" s="44"/>
      <c r="B13" s="44"/>
      <c r="C13" s="45"/>
    </row>
    <row r="14" spans="1:3" x14ac:dyDescent="0.3">
      <c r="A14" s="44"/>
      <c r="B14" s="44"/>
      <c r="C14" s="45"/>
    </row>
    <row r="15" spans="1:3" x14ac:dyDescent="0.3">
      <c r="A15" s="44"/>
      <c r="B15" s="44"/>
      <c r="C15" s="45"/>
    </row>
    <row r="16" spans="1:3" x14ac:dyDescent="0.3">
      <c r="A16" s="44"/>
      <c r="B16" s="44"/>
      <c r="C16" s="45"/>
    </row>
    <row r="17" spans="1:3" x14ac:dyDescent="0.3">
      <c r="A17" s="44"/>
      <c r="B17" s="44"/>
      <c r="C17" s="45"/>
    </row>
    <row r="18" spans="1:3" x14ac:dyDescent="0.3">
      <c r="A18" s="44"/>
      <c r="B18" s="44"/>
      <c r="C18" s="45"/>
    </row>
    <row r="19" spans="1:3" x14ac:dyDescent="0.3">
      <c r="A19" s="44"/>
      <c r="B19" s="44"/>
      <c r="C19" s="45"/>
    </row>
    <row r="20" spans="1:3" x14ac:dyDescent="0.3">
      <c r="A20" s="44"/>
      <c r="B20" s="44"/>
      <c r="C20" s="45"/>
    </row>
    <row r="21" spans="1:3" x14ac:dyDescent="0.3">
      <c r="A21" s="44"/>
      <c r="B21" s="44"/>
      <c r="C21" s="45"/>
    </row>
    <row r="22" spans="1:3" x14ac:dyDescent="0.3">
      <c r="A22" s="44"/>
      <c r="B22" s="44"/>
      <c r="C22" s="45"/>
    </row>
    <row r="23" spans="1:3" x14ac:dyDescent="0.3">
      <c r="A23" s="44"/>
      <c r="B23" s="44"/>
      <c r="C23" s="45"/>
    </row>
    <row r="24" spans="1:3" x14ac:dyDescent="0.3">
      <c r="A24" s="44"/>
      <c r="B24" s="44"/>
      <c r="C24" s="45"/>
    </row>
    <row r="25" spans="1:3" x14ac:dyDescent="0.3">
      <c r="A25" s="44"/>
      <c r="B25" s="44"/>
      <c r="C25" s="45"/>
    </row>
    <row r="26" spans="1:3" x14ac:dyDescent="0.3">
      <c r="A26" s="44"/>
      <c r="B26" s="44"/>
      <c r="C26" s="45"/>
    </row>
    <row r="27" spans="1:3" x14ac:dyDescent="0.3">
      <c r="A27" s="44"/>
      <c r="B27" s="44"/>
      <c r="C27" s="45"/>
    </row>
    <row r="28" spans="1:3" x14ac:dyDescent="0.3">
      <c r="A28" s="46" t="s">
        <v>262</v>
      </c>
      <c r="B28" s="46"/>
      <c r="C28" s="46"/>
    </row>
    <row r="29" spans="1:3" x14ac:dyDescent="0.3">
      <c r="A29" s="44" t="s">
        <v>266</v>
      </c>
      <c r="B29" s="44"/>
      <c r="C29" s="45"/>
    </row>
    <row r="30" spans="1:3" x14ac:dyDescent="0.3">
      <c r="A30" s="44" t="s">
        <v>267</v>
      </c>
      <c r="B30" s="44"/>
      <c r="C30" s="45"/>
    </row>
    <row r="31" spans="1:3" x14ac:dyDescent="0.3">
      <c r="A31" s="46" t="s">
        <v>262</v>
      </c>
      <c r="B31" s="46"/>
      <c r="C31" s="46"/>
    </row>
    <row r="32" spans="1:3" x14ac:dyDescent="0.3">
      <c r="A32" s="51" t="s">
        <v>268</v>
      </c>
      <c r="B32" s="44"/>
      <c r="C32" s="45"/>
    </row>
    <row r="33" spans="1:3" x14ac:dyDescent="0.3">
      <c r="A33" s="46" t="s">
        <v>262</v>
      </c>
      <c r="B33" s="46"/>
      <c r="C33" s="46"/>
    </row>
    <row r="34" spans="1:3" x14ac:dyDescent="0.3">
      <c r="A34" s="44" t="s">
        <v>269</v>
      </c>
      <c r="B34" s="44"/>
      <c r="C34" s="45"/>
    </row>
    <row r="35" spans="1:3" x14ac:dyDescent="0.3">
      <c r="A35" s="44" t="s">
        <v>270</v>
      </c>
      <c r="B35" s="44"/>
      <c r="C35" s="45"/>
    </row>
    <row r="36" spans="1:3" x14ac:dyDescent="0.3">
      <c r="A36" s="44" t="s">
        <v>271</v>
      </c>
      <c r="B36" s="44"/>
      <c r="C36" s="45"/>
    </row>
    <row r="37" spans="1:3" x14ac:dyDescent="0.3">
      <c r="A37" s="46" t="s">
        <v>262</v>
      </c>
      <c r="B37" s="46"/>
      <c r="C37" s="46"/>
    </row>
    <row r="38" spans="1:3" x14ac:dyDescent="0.3">
      <c r="A38" s="52" t="s">
        <v>272</v>
      </c>
      <c r="B38" s="47"/>
      <c r="C38" s="47"/>
    </row>
    <row r="39" spans="1:3" x14ac:dyDescent="0.3">
      <c r="A39" s="47" t="s">
        <v>273</v>
      </c>
      <c r="B39" s="47"/>
      <c r="C39" s="47"/>
    </row>
    <row r="40" spans="1:3" x14ac:dyDescent="0.3">
      <c r="A40" s="47" t="s">
        <v>274</v>
      </c>
      <c r="B40" s="47"/>
      <c r="C40" s="47"/>
    </row>
    <row r="41" spans="1:3" x14ac:dyDescent="0.3">
      <c r="A41" s="54" t="s">
        <v>275</v>
      </c>
      <c r="B41" s="53"/>
      <c r="C41" s="53"/>
    </row>
    <row r="42" spans="1:3" x14ac:dyDescent="0.3">
      <c r="A42" s="53"/>
      <c r="B42" s="53"/>
      <c r="C42" s="53"/>
    </row>
    <row r="43" spans="1:3" x14ac:dyDescent="0.3">
      <c r="A43" s="53"/>
      <c r="B43" s="53"/>
      <c r="C43" s="53"/>
    </row>
    <row r="44" spans="1:3" x14ac:dyDescent="0.3">
      <c r="A44" s="47" t="s">
        <v>276</v>
      </c>
      <c r="B44" s="47"/>
      <c r="C44" s="47"/>
    </row>
  </sheetData>
  <sheetProtection algorithmName="SHA-512" hashValue="mx839HbuQx8zsw6i1hN3WrIf99annQiIYRsrZ9Id62+qr1G2Z0mqmUhYz1i/tcgN/BzzWEWEA12rzxr5vq/D2Q==" saltValue="xZTtMq2h1SMJ6yGiGAQ3IQ==" spinCount="100000" sheet="1" objects="1" scenarios="1"/>
  <mergeCells count="18">
    <mergeCell ref="A37:C37"/>
    <mergeCell ref="A38:C38"/>
    <mergeCell ref="A39:C39"/>
    <mergeCell ref="A40:C40"/>
    <mergeCell ref="A41:C43"/>
    <mergeCell ref="A44:C44"/>
    <mergeCell ref="A10:C10"/>
    <mergeCell ref="A11:C11"/>
    <mergeCell ref="A12:C12"/>
    <mergeCell ref="A28:C28"/>
    <mergeCell ref="A31:C31"/>
    <mergeCell ref="A33:C33"/>
    <mergeCell ref="A1:C1"/>
    <mergeCell ref="A2:C2"/>
    <mergeCell ref="A3:C3"/>
    <mergeCell ref="A4:C4"/>
    <mergeCell ref="A5:C5"/>
    <mergeCell ref="A6:C6"/>
  </mergeCells>
  <pageMargins left="0.2" right="0.2" top="0.2" bottom="0.2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12586-91EE-460C-9255-F801E96241D6}">
  <sheetPr codeName="Sheet5">
    <tabColor rgb="FF27AE60"/>
  </sheetPr>
  <dimension ref="A1:L1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2.77734375" style="6" customWidth="1"/>
    <col min="2" max="2" width="25.77734375" customWidth="1"/>
    <col min="3" max="3" width="20.77734375" customWidth="1"/>
    <col min="4" max="4" width="25.77734375" customWidth="1"/>
    <col min="5" max="5" width="15.77734375" style="6" customWidth="1"/>
    <col min="6" max="6" width="30.77734375" style="10" customWidth="1"/>
    <col min="7" max="8" width="15.77734375" customWidth="1"/>
    <col min="9" max="9" width="20.77734375" style="6" customWidth="1"/>
    <col min="10" max="10" width="15.77734375" style="6" customWidth="1"/>
    <col min="11" max="11" width="10.77734375" customWidth="1"/>
    <col min="12" max="12" width="25.77734375" customWidth="1"/>
  </cols>
  <sheetData>
    <row r="1" spans="1:12" x14ac:dyDescent="0.3">
      <c r="A1" s="6" t="s">
        <v>51</v>
      </c>
      <c r="B1" t="s">
        <v>1</v>
      </c>
      <c r="C1" t="s">
        <v>52</v>
      </c>
      <c r="D1" t="s">
        <v>5</v>
      </c>
      <c r="E1" s="6" t="s">
        <v>4</v>
      </c>
      <c r="F1" s="10" t="s">
        <v>53</v>
      </c>
      <c r="G1" t="s">
        <v>54</v>
      </c>
      <c r="H1" t="s">
        <v>55</v>
      </c>
      <c r="I1" s="6" t="s">
        <v>56</v>
      </c>
      <c r="J1" s="6" t="s">
        <v>57</v>
      </c>
      <c r="K1" t="s">
        <v>58</v>
      </c>
      <c r="L1" t="s">
        <v>59</v>
      </c>
    </row>
    <row r="2" spans="1:12" x14ac:dyDescent="0.3">
      <c r="A2" s="6" t="s">
        <v>60</v>
      </c>
      <c r="B2" t="s">
        <v>61</v>
      </c>
      <c r="C2" t="s">
        <v>62</v>
      </c>
      <c r="D2" t="s">
        <v>63</v>
      </c>
      <c r="E2" s="6" t="s">
        <v>64</v>
      </c>
      <c r="F2" s="10" t="s">
        <v>65</v>
      </c>
      <c r="G2" t="s">
        <v>66</v>
      </c>
      <c r="H2" t="s">
        <v>10</v>
      </c>
      <c r="I2" s="6" t="s">
        <v>67</v>
      </c>
      <c r="J2" s="6" t="s">
        <v>46</v>
      </c>
      <c r="K2" t="s">
        <v>68</v>
      </c>
    </row>
    <row r="3" spans="1:12" x14ac:dyDescent="0.3">
      <c r="A3" s="6" t="s">
        <v>69</v>
      </c>
      <c r="B3" t="s">
        <v>70</v>
      </c>
      <c r="C3" t="s">
        <v>71</v>
      </c>
      <c r="D3" t="s">
        <v>72</v>
      </c>
      <c r="E3" s="6" t="s">
        <v>73</v>
      </c>
      <c r="F3" s="10" t="s">
        <v>74</v>
      </c>
      <c r="G3" t="s">
        <v>66</v>
      </c>
      <c r="H3" t="s">
        <v>10</v>
      </c>
      <c r="I3" s="6" t="s">
        <v>75</v>
      </c>
      <c r="J3" s="6" t="s">
        <v>76</v>
      </c>
      <c r="K3" t="s">
        <v>68</v>
      </c>
    </row>
    <row r="4" spans="1:12" x14ac:dyDescent="0.3">
      <c r="A4" s="6" t="s">
        <v>77</v>
      </c>
      <c r="B4" t="s">
        <v>78</v>
      </c>
      <c r="C4" t="s">
        <v>79</v>
      </c>
      <c r="D4" t="s">
        <v>80</v>
      </c>
      <c r="E4" s="6" t="s">
        <v>81</v>
      </c>
      <c r="F4" s="10" t="s">
        <v>82</v>
      </c>
      <c r="G4" t="s">
        <v>83</v>
      </c>
      <c r="H4" t="s">
        <v>22</v>
      </c>
      <c r="I4" s="6" t="s">
        <v>84</v>
      </c>
      <c r="J4" s="6" t="s">
        <v>46</v>
      </c>
      <c r="K4" t="s">
        <v>68</v>
      </c>
    </row>
    <row r="5" spans="1:12" x14ac:dyDescent="0.3">
      <c r="A5" s="6" t="s">
        <v>85</v>
      </c>
      <c r="B5" t="s">
        <v>86</v>
      </c>
      <c r="C5" t="s">
        <v>87</v>
      </c>
      <c r="D5" t="s">
        <v>88</v>
      </c>
      <c r="E5" s="6" t="s">
        <v>89</v>
      </c>
      <c r="F5" s="10" t="s">
        <v>90</v>
      </c>
      <c r="G5" t="s">
        <v>91</v>
      </c>
      <c r="H5" t="s">
        <v>27</v>
      </c>
      <c r="I5" s="6" t="s">
        <v>92</v>
      </c>
      <c r="J5" s="6" t="s">
        <v>46</v>
      </c>
      <c r="K5" t="s">
        <v>68</v>
      </c>
    </row>
    <row r="6" spans="1:12" x14ac:dyDescent="0.3">
      <c r="A6" s="6" t="s">
        <v>93</v>
      </c>
      <c r="B6" t="s">
        <v>94</v>
      </c>
      <c r="C6" t="s">
        <v>95</v>
      </c>
      <c r="D6" t="s">
        <v>96</v>
      </c>
      <c r="E6" s="6" t="s">
        <v>97</v>
      </c>
      <c r="F6" s="10" t="s">
        <v>98</v>
      </c>
      <c r="G6" t="s">
        <v>66</v>
      </c>
      <c r="H6" t="s">
        <v>10</v>
      </c>
      <c r="I6" s="6" t="s">
        <v>99</v>
      </c>
      <c r="J6" s="6" t="s">
        <v>100</v>
      </c>
      <c r="K6" t="s">
        <v>68</v>
      </c>
    </row>
    <row r="7" spans="1:12" x14ac:dyDescent="0.3">
      <c r="A7" s="6" t="s">
        <v>101</v>
      </c>
      <c r="B7" t="s">
        <v>102</v>
      </c>
      <c r="C7" t="s">
        <v>103</v>
      </c>
      <c r="D7" t="s">
        <v>104</v>
      </c>
      <c r="E7" s="6" t="s">
        <v>105</v>
      </c>
      <c r="F7" s="10" t="s">
        <v>106</v>
      </c>
      <c r="G7" t="s">
        <v>107</v>
      </c>
      <c r="H7" t="s">
        <v>22</v>
      </c>
      <c r="I7" s="6" t="s">
        <v>108</v>
      </c>
      <c r="J7" s="6" t="s">
        <v>76</v>
      </c>
      <c r="K7" t="s">
        <v>68</v>
      </c>
    </row>
    <row r="8" spans="1:12" x14ac:dyDescent="0.3">
      <c r="A8" s="6" t="s">
        <v>109</v>
      </c>
      <c r="B8" t="s">
        <v>110</v>
      </c>
      <c r="C8" t="s">
        <v>111</v>
      </c>
      <c r="D8" t="s">
        <v>112</v>
      </c>
      <c r="E8" s="6" t="s">
        <v>113</v>
      </c>
      <c r="F8" s="10" t="s">
        <v>114</v>
      </c>
      <c r="G8" t="s">
        <v>91</v>
      </c>
      <c r="H8" t="s">
        <v>27</v>
      </c>
      <c r="I8" s="6" t="s">
        <v>115</v>
      </c>
      <c r="J8" s="6" t="s">
        <v>46</v>
      </c>
      <c r="K8" t="s">
        <v>68</v>
      </c>
    </row>
    <row r="9" spans="1:12" x14ac:dyDescent="0.3">
      <c r="A9" s="6" t="s">
        <v>116</v>
      </c>
      <c r="B9" t="s">
        <v>117</v>
      </c>
      <c r="C9" t="s">
        <v>118</v>
      </c>
      <c r="D9" t="s">
        <v>119</v>
      </c>
      <c r="E9" s="6" t="s">
        <v>120</v>
      </c>
      <c r="F9" s="10" t="s">
        <v>121</v>
      </c>
      <c r="G9" t="s">
        <v>66</v>
      </c>
      <c r="H9" t="s">
        <v>10</v>
      </c>
      <c r="I9" s="6" t="s">
        <v>122</v>
      </c>
      <c r="J9" s="6" t="s">
        <v>46</v>
      </c>
      <c r="K9" t="s">
        <v>68</v>
      </c>
    </row>
    <row r="10" spans="1:12" x14ac:dyDescent="0.3">
      <c r="A10" s="6" t="s">
        <v>123</v>
      </c>
      <c r="B10" t="s">
        <v>124</v>
      </c>
      <c r="C10" t="s">
        <v>125</v>
      </c>
      <c r="D10" t="s">
        <v>126</v>
      </c>
      <c r="E10" s="6" t="s">
        <v>127</v>
      </c>
      <c r="F10" s="10" t="s">
        <v>128</v>
      </c>
      <c r="G10" t="s">
        <v>129</v>
      </c>
      <c r="H10" t="s">
        <v>22</v>
      </c>
      <c r="I10" s="6" t="s">
        <v>130</v>
      </c>
      <c r="J10" s="6" t="s">
        <v>46</v>
      </c>
      <c r="K10" t="s">
        <v>68</v>
      </c>
    </row>
    <row r="11" spans="1:12" x14ac:dyDescent="0.3">
      <c r="A11" s="6" t="s">
        <v>131</v>
      </c>
      <c r="B11" t="s">
        <v>132</v>
      </c>
      <c r="C11" t="s">
        <v>133</v>
      </c>
      <c r="D11" t="s">
        <v>134</v>
      </c>
      <c r="E11" s="6" t="s">
        <v>135</v>
      </c>
      <c r="F11" s="10" t="s">
        <v>136</v>
      </c>
      <c r="G11" t="s">
        <v>137</v>
      </c>
      <c r="H11" t="s">
        <v>27</v>
      </c>
      <c r="I11" s="6" t="s">
        <v>138</v>
      </c>
      <c r="J11" s="6" t="s">
        <v>76</v>
      </c>
      <c r="K11" t="s">
        <v>68</v>
      </c>
    </row>
  </sheetData>
  <sheetProtection algorithmName="SHA-512" hashValue="mzqmvAe5+PrspwEShUa7VlzTQScI6iGZM0wJGSlD3Ext7MB6YCZ6zhzWhpeU8NGwdfdBh8seopve1l8MzikcyA==" saltValue="9kYHUXJH1D6mZECfJqMxfQ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B4B5B-64E7-4C2E-AF1C-7421C84EF28E}">
  <sheetPr codeName="Sheet6">
    <tabColor rgb="FF27AE60"/>
  </sheetPr>
  <dimension ref="A1:H2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2.77734375" style="6" customWidth="1"/>
    <col min="2" max="2" width="30.77734375" customWidth="1"/>
    <col min="3" max="3" width="35.77734375" style="10" customWidth="1"/>
    <col min="4" max="4" width="15.77734375" style="6" customWidth="1"/>
    <col min="5" max="5" width="15.77734375" style="11" customWidth="1"/>
    <col min="6" max="6" width="10.77734375" customWidth="1"/>
    <col min="7" max="7" width="18.77734375" customWidth="1"/>
    <col min="8" max="8" width="10.77734375" style="6" customWidth="1"/>
  </cols>
  <sheetData>
    <row r="1" spans="1:8" x14ac:dyDescent="0.3">
      <c r="A1" s="6" t="s">
        <v>139</v>
      </c>
      <c r="B1" t="s">
        <v>140</v>
      </c>
      <c r="C1" s="10" t="s">
        <v>141</v>
      </c>
      <c r="D1" s="6" t="s">
        <v>142</v>
      </c>
      <c r="E1" s="11" t="s">
        <v>143</v>
      </c>
      <c r="F1" t="s">
        <v>144</v>
      </c>
      <c r="G1" t="s">
        <v>145</v>
      </c>
      <c r="H1" s="6" t="s">
        <v>58</v>
      </c>
    </row>
    <row r="2" spans="1:8" x14ac:dyDescent="0.3">
      <c r="A2" s="6" t="s">
        <v>146</v>
      </c>
      <c r="B2" t="s">
        <v>147</v>
      </c>
      <c r="C2" s="10" t="s">
        <v>148</v>
      </c>
      <c r="D2" s="6" t="s">
        <v>149</v>
      </c>
      <c r="E2" s="11">
        <v>150</v>
      </c>
      <c r="F2" t="s">
        <v>150</v>
      </c>
      <c r="G2" t="s">
        <v>151</v>
      </c>
      <c r="H2" s="6" t="s">
        <v>68</v>
      </c>
    </row>
    <row r="3" spans="1:8" x14ac:dyDescent="0.3">
      <c r="A3" s="6" t="s">
        <v>152</v>
      </c>
      <c r="B3" t="s">
        <v>153</v>
      </c>
      <c r="C3" s="10" t="s">
        <v>154</v>
      </c>
      <c r="D3" s="6" t="s">
        <v>155</v>
      </c>
      <c r="E3" s="11">
        <v>200</v>
      </c>
      <c r="F3" t="s">
        <v>150</v>
      </c>
      <c r="G3" t="s">
        <v>151</v>
      </c>
      <c r="H3" s="6" t="s">
        <v>68</v>
      </c>
    </row>
    <row r="4" spans="1:8" x14ac:dyDescent="0.3">
      <c r="A4" s="6" t="s">
        <v>156</v>
      </c>
      <c r="B4" t="s">
        <v>157</v>
      </c>
      <c r="C4" s="10" t="s">
        <v>158</v>
      </c>
      <c r="D4" s="6" t="s">
        <v>159</v>
      </c>
      <c r="E4" s="11">
        <v>500</v>
      </c>
      <c r="F4" t="s">
        <v>160</v>
      </c>
      <c r="G4" t="s">
        <v>151</v>
      </c>
      <c r="H4" s="6" t="s">
        <v>68</v>
      </c>
    </row>
    <row r="5" spans="1:8" x14ac:dyDescent="0.3">
      <c r="A5" s="6" t="s">
        <v>161</v>
      </c>
      <c r="B5" t="s">
        <v>162</v>
      </c>
      <c r="C5" s="10" t="s">
        <v>163</v>
      </c>
      <c r="D5" s="6" t="s">
        <v>164</v>
      </c>
      <c r="E5" s="11">
        <v>1200</v>
      </c>
      <c r="F5" t="s">
        <v>144</v>
      </c>
      <c r="G5" t="s">
        <v>151</v>
      </c>
      <c r="H5" s="6" t="s">
        <v>68</v>
      </c>
    </row>
    <row r="6" spans="1:8" x14ac:dyDescent="0.3">
      <c r="A6" s="6" t="s">
        <v>165</v>
      </c>
      <c r="B6" t="s">
        <v>166</v>
      </c>
      <c r="C6" s="10" t="s">
        <v>167</v>
      </c>
      <c r="D6" s="6" t="s">
        <v>168</v>
      </c>
      <c r="E6" s="11">
        <v>999</v>
      </c>
      <c r="F6" t="s">
        <v>168</v>
      </c>
      <c r="G6" t="s">
        <v>151</v>
      </c>
      <c r="H6" s="6" t="s">
        <v>68</v>
      </c>
    </row>
    <row r="7" spans="1:8" x14ac:dyDescent="0.3">
      <c r="A7" s="6" t="s">
        <v>169</v>
      </c>
      <c r="B7" t="s">
        <v>170</v>
      </c>
      <c r="C7" s="10" t="s">
        <v>171</v>
      </c>
      <c r="D7" s="6" t="s">
        <v>149</v>
      </c>
      <c r="E7" s="11">
        <v>350</v>
      </c>
      <c r="F7" t="s">
        <v>172</v>
      </c>
      <c r="G7" t="s">
        <v>151</v>
      </c>
      <c r="H7" s="6" t="s">
        <v>68</v>
      </c>
    </row>
    <row r="8" spans="1:8" x14ac:dyDescent="0.3">
      <c r="A8" s="6" t="s">
        <v>173</v>
      </c>
      <c r="B8" t="s">
        <v>174</v>
      </c>
      <c r="C8" s="10" t="s">
        <v>175</v>
      </c>
      <c r="D8" s="6" t="s">
        <v>176</v>
      </c>
      <c r="E8" s="11">
        <v>800</v>
      </c>
      <c r="F8" t="s">
        <v>172</v>
      </c>
      <c r="G8" t="s">
        <v>151</v>
      </c>
      <c r="H8" s="6" t="s">
        <v>68</v>
      </c>
    </row>
    <row r="9" spans="1:8" x14ac:dyDescent="0.3">
      <c r="A9" s="6" t="s">
        <v>177</v>
      </c>
      <c r="B9" t="s">
        <v>178</v>
      </c>
      <c r="C9" s="10" t="s">
        <v>179</v>
      </c>
      <c r="D9" s="6" t="s">
        <v>149</v>
      </c>
      <c r="E9" s="11">
        <v>2500</v>
      </c>
      <c r="F9" t="s">
        <v>172</v>
      </c>
      <c r="G9" t="s">
        <v>151</v>
      </c>
      <c r="H9" s="6" t="s">
        <v>68</v>
      </c>
    </row>
    <row r="10" spans="1:8" x14ac:dyDescent="0.3">
      <c r="A10" s="6" t="s">
        <v>180</v>
      </c>
      <c r="B10" t="s">
        <v>181</v>
      </c>
      <c r="C10" s="10" t="s">
        <v>182</v>
      </c>
      <c r="D10" s="6" t="s">
        <v>176</v>
      </c>
      <c r="E10" s="11">
        <v>175</v>
      </c>
      <c r="F10" t="s">
        <v>150</v>
      </c>
      <c r="G10" t="s">
        <v>151</v>
      </c>
      <c r="H10" s="6" t="s">
        <v>68</v>
      </c>
    </row>
    <row r="11" spans="1:8" x14ac:dyDescent="0.3">
      <c r="A11" s="6" t="s">
        <v>183</v>
      </c>
      <c r="B11" t="s">
        <v>184</v>
      </c>
      <c r="C11" s="10" t="s">
        <v>185</v>
      </c>
      <c r="D11" s="6" t="s">
        <v>159</v>
      </c>
      <c r="E11" s="11">
        <v>15</v>
      </c>
      <c r="F11" t="s">
        <v>160</v>
      </c>
      <c r="G11" t="s">
        <v>186</v>
      </c>
      <c r="H11" s="6" t="s">
        <v>68</v>
      </c>
    </row>
    <row r="12" spans="1:8" x14ac:dyDescent="0.3">
      <c r="A12" s="6" t="s">
        <v>187</v>
      </c>
      <c r="B12" t="s">
        <v>188</v>
      </c>
      <c r="C12" s="10" t="s">
        <v>189</v>
      </c>
      <c r="D12" s="6" t="s">
        <v>159</v>
      </c>
      <c r="E12" s="11">
        <v>75</v>
      </c>
      <c r="F12" t="s">
        <v>168</v>
      </c>
      <c r="G12" t="s">
        <v>186</v>
      </c>
      <c r="H12" s="6" t="s">
        <v>68</v>
      </c>
    </row>
    <row r="13" spans="1:8" x14ac:dyDescent="0.3">
      <c r="A13" s="6" t="s">
        <v>190</v>
      </c>
      <c r="B13" t="s">
        <v>191</v>
      </c>
      <c r="C13" s="10" t="s">
        <v>192</v>
      </c>
      <c r="D13" s="6" t="s">
        <v>155</v>
      </c>
      <c r="E13" s="11">
        <v>250</v>
      </c>
      <c r="F13" t="s">
        <v>150</v>
      </c>
      <c r="G13" t="s">
        <v>151</v>
      </c>
      <c r="H13" s="6" t="s">
        <v>68</v>
      </c>
    </row>
    <row r="14" spans="1:8" x14ac:dyDescent="0.3">
      <c r="A14" s="6" t="s">
        <v>193</v>
      </c>
      <c r="B14" t="s">
        <v>194</v>
      </c>
      <c r="C14" s="10" t="s">
        <v>195</v>
      </c>
      <c r="D14" s="6" t="s">
        <v>176</v>
      </c>
      <c r="E14" s="11">
        <v>3000</v>
      </c>
      <c r="F14" t="s">
        <v>172</v>
      </c>
      <c r="G14" t="s">
        <v>151</v>
      </c>
      <c r="H14" s="6" t="s">
        <v>68</v>
      </c>
    </row>
    <row r="15" spans="1:8" x14ac:dyDescent="0.3">
      <c r="A15" s="6" t="s">
        <v>196</v>
      </c>
      <c r="B15" t="s">
        <v>197</v>
      </c>
      <c r="C15" s="10" t="s">
        <v>198</v>
      </c>
      <c r="D15" s="6" t="s">
        <v>164</v>
      </c>
      <c r="E15" s="11">
        <v>450</v>
      </c>
      <c r="F15" t="s">
        <v>144</v>
      </c>
      <c r="G15" t="s">
        <v>151</v>
      </c>
      <c r="H15" s="6" t="s">
        <v>68</v>
      </c>
    </row>
    <row r="16" spans="1:8" x14ac:dyDescent="0.3">
      <c r="A16" s="6" t="s">
        <v>199</v>
      </c>
      <c r="B16" t="s">
        <v>200</v>
      </c>
      <c r="C16" s="10" t="s">
        <v>201</v>
      </c>
      <c r="D16" s="6" t="s">
        <v>164</v>
      </c>
      <c r="E16" s="11">
        <v>280</v>
      </c>
      <c r="F16" t="s">
        <v>144</v>
      </c>
      <c r="G16" t="s">
        <v>151</v>
      </c>
      <c r="H16" s="6" t="s">
        <v>68</v>
      </c>
    </row>
    <row r="17" spans="1:8" x14ac:dyDescent="0.3">
      <c r="A17" s="6" t="s">
        <v>202</v>
      </c>
      <c r="B17" t="s">
        <v>203</v>
      </c>
      <c r="C17" s="10" t="s">
        <v>204</v>
      </c>
      <c r="D17" s="6" t="s">
        <v>176</v>
      </c>
      <c r="E17" s="11">
        <v>600</v>
      </c>
      <c r="F17" t="s">
        <v>160</v>
      </c>
      <c r="G17" t="s">
        <v>151</v>
      </c>
      <c r="H17" s="6" t="s">
        <v>68</v>
      </c>
    </row>
    <row r="18" spans="1:8" x14ac:dyDescent="0.3">
      <c r="A18" s="6" t="s">
        <v>205</v>
      </c>
      <c r="B18" t="s">
        <v>206</v>
      </c>
      <c r="C18" s="10" t="s">
        <v>207</v>
      </c>
      <c r="D18" s="6" t="s">
        <v>176</v>
      </c>
      <c r="E18" s="11">
        <v>500</v>
      </c>
      <c r="F18" t="s">
        <v>172</v>
      </c>
      <c r="G18" t="s">
        <v>151</v>
      </c>
      <c r="H18" s="6" t="s">
        <v>68</v>
      </c>
    </row>
    <row r="19" spans="1:8" x14ac:dyDescent="0.3">
      <c r="A19" s="6" t="s">
        <v>208</v>
      </c>
      <c r="B19" t="s">
        <v>209</v>
      </c>
      <c r="C19" s="10" t="s">
        <v>210</v>
      </c>
      <c r="D19" s="6" t="s">
        <v>159</v>
      </c>
      <c r="E19" s="11">
        <v>5</v>
      </c>
      <c r="F19" t="s">
        <v>160</v>
      </c>
      <c r="G19" t="s">
        <v>186</v>
      </c>
      <c r="H19" s="6" t="s">
        <v>68</v>
      </c>
    </row>
    <row r="20" spans="1:8" x14ac:dyDescent="0.3">
      <c r="A20" s="6" t="s">
        <v>211</v>
      </c>
      <c r="B20" t="s">
        <v>212</v>
      </c>
      <c r="C20" s="10" t="s">
        <v>213</v>
      </c>
      <c r="D20" s="6" t="s">
        <v>176</v>
      </c>
      <c r="E20" s="11">
        <v>1500</v>
      </c>
      <c r="F20" t="s">
        <v>172</v>
      </c>
      <c r="G20" t="s">
        <v>151</v>
      </c>
      <c r="H20" s="6" t="s">
        <v>68</v>
      </c>
    </row>
    <row r="21" spans="1:8" x14ac:dyDescent="0.3">
      <c r="A21" s="6" t="s">
        <v>214</v>
      </c>
      <c r="B21" t="s">
        <v>215</v>
      </c>
      <c r="C21" s="10" t="s">
        <v>216</v>
      </c>
      <c r="D21" s="6" t="s">
        <v>149</v>
      </c>
      <c r="E21" s="11">
        <v>180</v>
      </c>
      <c r="F21" t="s">
        <v>150</v>
      </c>
      <c r="G21" t="s">
        <v>151</v>
      </c>
      <c r="H21" s="6" t="s">
        <v>68</v>
      </c>
    </row>
  </sheetData>
  <sheetProtection algorithmName="SHA-512" hashValue="3WYaHkB5CUVatn7IhVpN875PIshGvm1ZsrBOuozDNt9zbPH2GRqWObcd2CceGF+aOf++t0C3Gmd+wktf7d4XfA==" saltValue="iSzE/yXZimmwHGas1nW6SA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327C0-A3B4-4F43-A8DC-70663D2BCDF2}">
  <sheetPr codeName="Sheet7">
    <tabColor rgb="FF117A65"/>
  </sheetPr>
  <dimension ref="A1:O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6.77734375" style="6" customWidth="1"/>
    <col min="2" max="2" width="10.77734375" style="6" customWidth="1"/>
    <col min="3" max="3" width="22.77734375" customWidth="1"/>
    <col min="4" max="5" width="12.77734375" style="9" customWidth="1"/>
    <col min="6" max="11" width="12.77734375" style="11" customWidth="1"/>
    <col min="12" max="12" width="10.77734375" customWidth="1"/>
    <col min="13" max="13" width="14.77734375" customWidth="1"/>
    <col min="14" max="14" width="14.77734375" style="8" customWidth="1"/>
    <col min="15" max="15" width="25.77734375" style="10" customWidth="1"/>
  </cols>
  <sheetData>
    <row r="1" spans="1:15" x14ac:dyDescent="0.3">
      <c r="A1" s="6" t="s">
        <v>217</v>
      </c>
      <c r="B1" s="6" t="s">
        <v>51</v>
      </c>
      <c r="C1" t="s">
        <v>218</v>
      </c>
      <c r="D1" s="9" t="s">
        <v>219</v>
      </c>
      <c r="E1" s="9" t="s">
        <v>220</v>
      </c>
      <c r="F1" s="11" t="s">
        <v>221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t="s">
        <v>58</v>
      </c>
      <c r="M1" t="s">
        <v>9</v>
      </c>
      <c r="N1" s="8" t="s">
        <v>227</v>
      </c>
      <c r="O1" s="10" t="s">
        <v>59</v>
      </c>
    </row>
  </sheetData>
  <sheetProtection algorithmName="SHA-512" hashValue="f55PVI21BfP95ErPI4gxPWYy0sn4WLJN2+DttQs7OlLK2j/vKOuzuqiQ5+XP3OiYFzFvuP735NNrCn8ZKnCkiw==" saltValue="tbZgCvVrKa9e6oLn3ew8Rw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B4263-2D75-4B87-A64D-9F4003CABC46}">
  <sheetPr codeName="Sheet8">
    <tabColor rgb="FFC0392B"/>
  </sheetPr>
  <dimension ref="A1:E49"/>
  <sheetViews>
    <sheetView workbookViewId="0"/>
  </sheetViews>
  <sheetFormatPr defaultRowHeight="14.4" x14ac:dyDescent="0.3"/>
  <cols>
    <col min="1" max="2" width="20.77734375" customWidth="1"/>
    <col min="3" max="5" width="15.77734375" customWidth="1"/>
  </cols>
  <sheetData>
    <row r="1" spans="1:5" x14ac:dyDescent="0.3">
      <c r="A1" s="4" t="s">
        <v>0</v>
      </c>
      <c r="B1" s="5"/>
      <c r="C1" s="5"/>
      <c r="D1" s="5"/>
    </row>
    <row r="2" spans="1:5" x14ac:dyDescent="0.3">
      <c r="A2" t="s">
        <v>1</v>
      </c>
    </row>
    <row r="3" spans="1:5" x14ac:dyDescent="0.3">
      <c r="A3" t="s">
        <v>2</v>
      </c>
    </row>
    <row r="4" spans="1:5" x14ac:dyDescent="0.3">
      <c r="A4" t="s">
        <v>3</v>
      </c>
    </row>
    <row r="5" spans="1:5" x14ac:dyDescent="0.3">
      <c r="A5" t="s">
        <v>4</v>
      </c>
    </row>
    <row r="6" spans="1:5" x14ac:dyDescent="0.3">
      <c r="A6" t="s">
        <v>5</v>
      </c>
    </row>
    <row r="7" spans="1:5" x14ac:dyDescent="0.3">
      <c r="A7" t="s">
        <v>6</v>
      </c>
    </row>
    <row r="8" spans="1:5" x14ac:dyDescent="0.3">
      <c r="A8" t="s">
        <v>7</v>
      </c>
    </row>
    <row r="10" spans="1:5" x14ac:dyDescent="0.3">
      <c r="A10" s="4" t="s">
        <v>8</v>
      </c>
      <c r="B10" s="5"/>
      <c r="C10" s="5"/>
      <c r="D10" s="5"/>
    </row>
    <row r="11" spans="1:5" x14ac:dyDescent="0.3">
      <c r="A11" t="s">
        <v>9</v>
      </c>
      <c r="B11" t="s">
        <v>10</v>
      </c>
    </row>
    <row r="12" spans="1:5" x14ac:dyDescent="0.3">
      <c r="A12" t="s">
        <v>11</v>
      </c>
      <c r="B12" s="6" t="s">
        <v>12</v>
      </c>
    </row>
    <row r="14" spans="1:5" x14ac:dyDescent="0.3">
      <c r="A14" s="4" t="s">
        <v>13</v>
      </c>
      <c r="B14" s="5"/>
      <c r="C14" s="5"/>
      <c r="D14" s="5"/>
      <c r="E14" s="5"/>
    </row>
    <row r="15" spans="1:5" x14ac:dyDescent="0.3">
      <c r="A15" s="7" t="s">
        <v>9</v>
      </c>
      <c r="B15" s="7" t="s">
        <v>14</v>
      </c>
      <c r="C15" s="7" t="s">
        <v>15</v>
      </c>
      <c r="D15" s="7" t="s">
        <v>16</v>
      </c>
      <c r="E15" s="7" t="s">
        <v>17</v>
      </c>
    </row>
    <row r="16" spans="1:5" x14ac:dyDescent="0.3">
      <c r="A16" t="s">
        <v>10</v>
      </c>
      <c r="B16" t="s">
        <v>18</v>
      </c>
      <c r="C16" s="8">
        <v>0.16</v>
      </c>
      <c r="D16" t="s">
        <v>19</v>
      </c>
    </row>
    <row r="17" spans="1:4" x14ac:dyDescent="0.3">
      <c r="A17" t="s">
        <v>10</v>
      </c>
      <c r="B17" t="s">
        <v>20</v>
      </c>
      <c r="C17" s="8">
        <v>0</v>
      </c>
      <c r="D17" t="s">
        <v>19</v>
      </c>
    </row>
    <row r="18" spans="1:4" x14ac:dyDescent="0.3">
      <c r="A18" t="s">
        <v>10</v>
      </c>
      <c r="B18" t="s">
        <v>21</v>
      </c>
      <c r="C18" s="8">
        <v>0.08</v>
      </c>
      <c r="D18" t="s">
        <v>19</v>
      </c>
    </row>
    <row r="19" spans="1:4" x14ac:dyDescent="0.3">
      <c r="A19" t="s">
        <v>22</v>
      </c>
      <c r="B19" t="s">
        <v>23</v>
      </c>
      <c r="C19" s="8">
        <v>7.2499999999999995E-2</v>
      </c>
      <c r="D19" t="s">
        <v>24</v>
      </c>
    </row>
    <row r="20" spans="1:4" x14ac:dyDescent="0.3">
      <c r="A20" t="s">
        <v>22</v>
      </c>
      <c r="B20" t="s">
        <v>25</v>
      </c>
      <c r="C20" s="8">
        <v>6.25E-2</v>
      </c>
      <c r="D20" t="s">
        <v>24</v>
      </c>
    </row>
    <row r="21" spans="1:4" x14ac:dyDescent="0.3">
      <c r="A21" t="s">
        <v>22</v>
      </c>
      <c r="B21" t="s">
        <v>26</v>
      </c>
      <c r="C21" s="8">
        <v>0.08</v>
      </c>
      <c r="D21" t="s">
        <v>24</v>
      </c>
    </row>
    <row r="22" spans="1:4" x14ac:dyDescent="0.3">
      <c r="A22" t="s">
        <v>27</v>
      </c>
      <c r="B22" t="s">
        <v>18</v>
      </c>
      <c r="C22" s="8">
        <v>0.2</v>
      </c>
      <c r="D22" t="s">
        <v>28</v>
      </c>
    </row>
    <row r="23" spans="1:4" x14ac:dyDescent="0.3">
      <c r="A23" t="s">
        <v>27</v>
      </c>
      <c r="B23" t="s">
        <v>29</v>
      </c>
      <c r="C23" s="8">
        <v>0.05</v>
      </c>
      <c r="D23" t="s">
        <v>28</v>
      </c>
    </row>
    <row r="24" spans="1:4" x14ac:dyDescent="0.3">
      <c r="A24" t="s">
        <v>27</v>
      </c>
      <c r="B24" t="s">
        <v>30</v>
      </c>
      <c r="C24" s="8">
        <v>0</v>
      </c>
      <c r="D24" t="s">
        <v>28</v>
      </c>
    </row>
    <row r="25" spans="1:4" x14ac:dyDescent="0.3">
      <c r="A25" s="4" t="s">
        <v>31</v>
      </c>
      <c r="B25" s="5"/>
      <c r="C25" s="5"/>
      <c r="D25" s="5"/>
    </row>
    <row r="26" spans="1:4" x14ac:dyDescent="0.3">
      <c r="A26" t="s">
        <v>32</v>
      </c>
      <c r="B26">
        <v>0</v>
      </c>
    </row>
    <row r="27" spans="1:4" x14ac:dyDescent="0.3">
      <c r="A27" t="s">
        <v>33</v>
      </c>
      <c r="B27">
        <v>0</v>
      </c>
    </row>
    <row r="28" spans="1:4" x14ac:dyDescent="0.3">
      <c r="A28" t="s">
        <v>34</v>
      </c>
      <c r="B28">
        <v>0</v>
      </c>
    </row>
    <row r="29" spans="1:4" x14ac:dyDescent="0.3">
      <c r="A29" t="s">
        <v>35</v>
      </c>
      <c r="B29">
        <v>2026</v>
      </c>
    </row>
    <row r="31" spans="1:4" x14ac:dyDescent="0.3">
      <c r="A31" s="4" t="s">
        <v>36</v>
      </c>
      <c r="B31" s="5"/>
      <c r="C31" s="5"/>
      <c r="D31" s="5"/>
    </row>
    <row r="32" spans="1:4" x14ac:dyDescent="0.3">
      <c r="A32" t="s">
        <v>37</v>
      </c>
    </row>
    <row r="33" spans="1:4" x14ac:dyDescent="0.3">
      <c r="A33" t="s">
        <v>38</v>
      </c>
    </row>
    <row r="34" spans="1:4" x14ac:dyDescent="0.3">
      <c r="A34" t="s">
        <v>39</v>
      </c>
    </row>
    <row r="35" spans="1:4" x14ac:dyDescent="0.3">
      <c r="A35" t="s">
        <v>40</v>
      </c>
    </row>
    <row r="36" spans="1:4" x14ac:dyDescent="0.3">
      <c r="A36" t="s">
        <v>41</v>
      </c>
    </row>
    <row r="37" spans="1:4" x14ac:dyDescent="0.3">
      <c r="A37" t="s">
        <v>42</v>
      </c>
    </row>
    <row r="38" spans="1:4" x14ac:dyDescent="0.3">
      <c r="A38" t="s">
        <v>43</v>
      </c>
    </row>
    <row r="45" spans="1:4" x14ac:dyDescent="0.3">
      <c r="A45" s="4" t="s">
        <v>44</v>
      </c>
      <c r="B45" s="5"/>
      <c r="C45" s="5"/>
      <c r="D45" s="5"/>
    </row>
    <row r="46" spans="1:4" x14ac:dyDescent="0.3">
      <c r="A46" t="s">
        <v>45</v>
      </c>
      <c r="B46" t="s">
        <v>46</v>
      </c>
    </row>
    <row r="47" spans="1:4" x14ac:dyDescent="0.3">
      <c r="A47" t="s">
        <v>47</v>
      </c>
      <c r="B47" s="8">
        <v>0</v>
      </c>
    </row>
    <row r="48" spans="1:4" x14ac:dyDescent="0.3">
      <c r="A48" t="s">
        <v>48</v>
      </c>
      <c r="B48" t="s">
        <v>49</v>
      </c>
    </row>
    <row r="49" spans="1:2" x14ac:dyDescent="0.3">
      <c r="A49" t="s">
        <v>50</v>
      </c>
      <c r="B49" s="9">
        <f ca="1">TODAY()</f>
        <v>46068</v>
      </c>
    </row>
  </sheetData>
  <sheetProtection algorithmName="SHA-512" hashValue="Nx5OQsEeqnPhDxGVuIk+5qWWrt8LXd69l81birniipbYRDpMoi1nRQuZyTYGiCt0UdA1/OZjLJ0Lw8pUe/ZaUg==" saltValue="kKlUH5LU1SnSvWjPYFQNCw==" spinCount="100000" sheet="1" objects="1" scenarios="1" sort="0" autoFilter="0"/>
  <mergeCells count="6">
    <mergeCell ref="A1:D1"/>
    <mergeCell ref="A10:D10"/>
    <mergeCell ref="A14:E14"/>
    <mergeCell ref="A25:D25"/>
    <mergeCell ref="A31:D31"/>
    <mergeCell ref="A45:D45"/>
  </mergeCells>
  <dataValidations count="2">
    <dataValidation type="list" allowBlank="1" showInputMessage="1" showErrorMessage="1" sqref="B11" xr:uid="{3E762C24-22B8-4AA9-B252-F9E960B98A7D}">
      <formula1>"Kenya,USA,UK"</formula1>
    </dataValidation>
    <dataValidation type="list" allowBlank="1" showInputMessage="1" showErrorMessage="1" sqref="B46" xr:uid="{E006B27C-0F4D-422E-A30C-7F6051722D97}">
      <formula1>"Due on Receipt,Net 15,Net 30,Net 60,Net 90"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6A8C3-E267-4D0D-961A-26F2B318ABBC}">
  <sheetPr codeName="Sheet9">
    <tabColor rgb="FF117A65"/>
  </sheetPr>
  <dimension ref="A1:I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4.77734375" style="6" customWidth="1"/>
    <col min="2" max="2" width="16.77734375" style="6" customWidth="1"/>
    <col min="3" max="3" width="10.77734375" style="6" customWidth="1"/>
    <col min="4" max="4" width="14.77734375" style="9" customWidth="1"/>
    <col min="5" max="5" width="14.77734375" style="11" customWidth="1"/>
    <col min="6" max="6" width="16.77734375" customWidth="1"/>
    <col min="7" max="7" width="20.77734375" customWidth="1"/>
    <col min="8" max="8" width="15.77734375" customWidth="1"/>
    <col min="9" max="9" width="25.77734375" customWidth="1"/>
  </cols>
  <sheetData>
    <row r="1" spans="1:9" x14ac:dyDescent="0.3">
      <c r="A1" s="6" t="s">
        <v>228</v>
      </c>
      <c r="B1" s="6" t="s">
        <v>217</v>
      </c>
      <c r="C1" s="6" t="s">
        <v>51</v>
      </c>
      <c r="D1" s="9" t="s">
        <v>229</v>
      </c>
      <c r="E1" s="11" t="s">
        <v>225</v>
      </c>
      <c r="F1" t="s">
        <v>230</v>
      </c>
      <c r="G1" t="s">
        <v>231</v>
      </c>
      <c r="H1" t="s">
        <v>232</v>
      </c>
      <c r="I1" t="s">
        <v>59</v>
      </c>
    </row>
  </sheetData>
  <sheetProtection algorithmName="SHA-512" hashValue="aLSaHYk17Kci69IwimnblvZhYv3z/FusEpn3lo8JSO35AcdU16nwbqlcfVjwT9/fn0P4WZ8RusFfNkGfaBAXFQ==" saltValue="c1XduxGZ4DNdxbt81iejAw==" spinCount="100000" sheet="1" objects="1" scenarios="1" sort="0" autoFilter="0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B07B4-272D-45FC-B1A1-E962CF1F8E4C}">
  <sheetPr codeName="Sheet10">
    <tabColor rgb="FF7D3C98"/>
  </sheetPr>
  <dimension ref="A1:G6"/>
  <sheetViews>
    <sheetView workbookViewId="0"/>
  </sheetViews>
  <sheetFormatPr defaultRowHeight="14.4" x14ac:dyDescent="0.3"/>
  <cols>
    <col min="1" max="2" width="18.77734375" customWidth="1"/>
    <col min="3" max="4" width="18.77734375" style="11" customWidth="1"/>
    <col min="5" max="5" width="18.77734375" style="8" customWidth="1"/>
    <col min="6" max="6" width="18.77734375" style="56" customWidth="1"/>
    <col min="7" max="7" width="18.77734375" style="11" customWidth="1"/>
  </cols>
  <sheetData>
    <row r="1" spans="1:7" ht="21" x14ac:dyDescent="0.4">
      <c r="A1" s="55" t="s">
        <v>277</v>
      </c>
      <c r="B1" s="1"/>
      <c r="C1" s="1"/>
      <c r="D1" s="1"/>
      <c r="E1" s="1"/>
      <c r="F1" s="1"/>
      <c r="G1" s="1"/>
    </row>
    <row r="3" spans="1:7" x14ac:dyDescent="0.3">
      <c r="A3" t="s">
        <v>278</v>
      </c>
      <c r="B3" t="s">
        <v>279</v>
      </c>
      <c r="C3" s="11" t="s">
        <v>280</v>
      </c>
      <c r="E3" s="8" t="s">
        <v>281</v>
      </c>
    </row>
    <row r="4" spans="1:7" x14ac:dyDescent="0.3">
      <c r="A4" t="s">
        <v>282</v>
      </c>
      <c r="B4" t="s">
        <v>283</v>
      </c>
    </row>
    <row r="6" spans="1:7" x14ac:dyDescent="0.3">
      <c r="A6" t="s">
        <v>160</v>
      </c>
      <c r="B6" t="s">
        <v>9</v>
      </c>
      <c r="C6" s="11" t="s">
        <v>284</v>
      </c>
      <c r="D6" s="11" t="s">
        <v>285</v>
      </c>
      <c r="E6" s="8" t="s">
        <v>286</v>
      </c>
      <c r="F6" s="56" t="s">
        <v>287</v>
      </c>
      <c r="G6" s="11" t="s">
        <v>288</v>
      </c>
    </row>
  </sheetData>
  <sheetProtection algorithmName="SHA-512" hashValue="IgYl9WZImAynqiXGDsVFsSzE/kA3fbtVqWvZaVW4omHkt0/kE0O0IWK8uqrPYS2k8RS/eIvTSXjOg+5+MBlW4g==" saltValue="27y5tRw5xA0ZYmbftWGA1g==" spinCount="100000" sheet="1" objects="1" scenarios="1"/>
  <mergeCells count="1">
    <mergeCell ref="A1:G1"/>
  </mergeCells>
  <dataValidations count="2">
    <dataValidation type="list" allowBlank="1" showInputMessage="1" showErrorMessage="1" sqref="B3" xr:uid="{584538CE-0495-4A41-A12B-B935B218B5C6}">
      <formula1>"Monthly,Quarterly,Annual"</formula1>
    </dataValidation>
    <dataValidation type="list" allowBlank="1" showInputMessage="1" showErrorMessage="1" sqref="B4" xr:uid="{25B47456-17D9-484D-9743-2A496434497D}">
      <formula1>"All,Kenya,USA,UK"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30</vt:i4>
      </vt:variant>
    </vt:vector>
  </HeadingPairs>
  <TitlesOfParts>
    <vt:vector size="40" baseType="lpstr">
      <vt:lpstr>Dashboard</vt:lpstr>
      <vt:lpstr>Invoice_Template</vt:lpstr>
      <vt:lpstr>Receipt_Template</vt:lpstr>
      <vt:lpstr>ETR_Template</vt:lpstr>
      <vt:lpstr>Customers</vt:lpstr>
      <vt:lpstr>Products</vt:lpstr>
      <vt:lpstr>Transactions</vt:lpstr>
      <vt:lpstr>Settings</vt:lpstr>
      <vt:lpstr>PaymentLog</vt:lpstr>
      <vt:lpstr>TaxSummary</vt:lpstr>
      <vt:lpstr>ETR_Template!Print_Area</vt:lpstr>
      <vt:lpstr>Invoice_Template!Print_Area</vt:lpstr>
      <vt:lpstr>Receipt_Template!Print_Area</vt:lpstr>
      <vt:lpstr>rngCompanyName</vt:lpstr>
      <vt:lpstr>rngCurrency</vt:lpstr>
      <vt:lpstr>rngETRDate</vt:lpstr>
      <vt:lpstr>rngETRLineItems</vt:lpstr>
      <vt:lpstr>rngETRNumber</vt:lpstr>
      <vt:lpstr>rngETRTotal</vt:lpstr>
      <vt:lpstr>rngInvCustomer</vt:lpstr>
      <vt:lpstr>rngInvDate</vt:lpstr>
      <vt:lpstr>rngInvDueDate</vt:lpstr>
      <vt:lpstr>rngInvLineItems</vt:lpstr>
      <vt:lpstr>rngInvNumber</vt:lpstr>
      <vt:lpstr>rngInvSubtotal</vt:lpstr>
      <vt:lpstr>rngInvTax</vt:lpstr>
      <vt:lpstr>rngInvTotal</vt:lpstr>
      <vt:lpstr>rngJurisdiction</vt:lpstr>
      <vt:lpstr>rngLastETR</vt:lpstr>
      <vt:lpstr>rngLastInvoice</vt:lpstr>
      <vt:lpstr>rngLastReceipt</vt:lpstr>
      <vt:lpstr>rngPaymentMethods</vt:lpstr>
      <vt:lpstr>rngPaymentTerms</vt:lpstr>
      <vt:lpstr>rngRcptAmountPaid</vt:lpstr>
      <vt:lpstr>rngRcptBalance</vt:lpstr>
      <vt:lpstr>rngRcptDate</vt:lpstr>
      <vt:lpstr>rngRcptInvoiceRef</vt:lpstr>
      <vt:lpstr>rngRcptNumber</vt:lpstr>
      <vt:lpstr>rngTaxTable</vt:lpstr>
      <vt:lpstr>rngYearPrefix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Professional Billing System</dc:title>
  <dc:subject>Multi-Jurisdiction Invoice &amp; Receipt Generator</dc:subject>
  <dc:creator>Built with VBA Workbook Builder</dc:creator>
  <cp:lastModifiedBy>insha khan</cp:lastModifiedBy>
  <dcterms:created xsi:type="dcterms:W3CDTF">2026-02-15T10:05:27Z</dcterms:created>
  <dcterms:modified xsi:type="dcterms:W3CDTF">2026-02-15T10:05:39Z</dcterms:modified>
</cp:coreProperties>
</file>